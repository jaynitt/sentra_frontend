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" sheetId="1" r:id="rId5"/>
    <sheet state="visible" name="Master Data" sheetId="2" r:id="rId6"/>
    <sheet state="visible" name="Percentile Ranking" sheetId="3" r:id="rId7"/>
  </sheets>
  <definedNames/>
  <calcPr/>
</workbook>
</file>

<file path=xl/sharedStrings.xml><?xml version="1.0" encoding="utf-8"?>
<sst xmlns="http://schemas.openxmlformats.org/spreadsheetml/2006/main" count="648" uniqueCount="227">
  <si>
    <t>Final Score (out of 100)</t>
  </si>
  <si>
    <t>#</t>
  </si>
  <si>
    <t>Company</t>
  </si>
  <si>
    <t>Growth Score</t>
  </si>
  <si>
    <t>Return Score</t>
  </si>
  <si>
    <t>Leverage Score</t>
  </si>
  <si>
    <t>Valuation Score</t>
  </si>
  <si>
    <t>Total Score = Growth Score * 0.25 + Return Score * 0.25 + Leverage Score * 0.25 + Valuation Score * 0.25</t>
  </si>
  <si>
    <t>LTIMINDTREE LTD</t>
  </si>
  <si>
    <t>NATIONAL ALUMINIUM COMPANY LTD</t>
  </si>
  <si>
    <t>INDRAPRASTHA GAS LTD</t>
  </si>
  <si>
    <t>TATA ELXSI LTD</t>
  </si>
  <si>
    <t>NMDC LTD</t>
  </si>
  <si>
    <t>SUPREME INDUSTRIES LTD</t>
  </si>
  <si>
    <t>HDFC ASSET MANAGEMENT COMPANY LTD</t>
  </si>
  <si>
    <t>INDUS TOWERS LTD</t>
  </si>
  <si>
    <t>INFOSYS LTD</t>
  </si>
  <si>
    <t>INFO EDGE (INDIA) LTD</t>
  </si>
  <si>
    <t>PERSISTENT SYSTEMS LTD</t>
  </si>
  <si>
    <t>BHARAT ELECTRONICS LTD</t>
  </si>
  <si>
    <t>ORACLE FINANCIAL SERVICES SOFTWARE LTD</t>
  </si>
  <si>
    <t>HERO MOTOCORP LTD</t>
  </si>
  <si>
    <t>P I INDUSTRIES LTD</t>
  </si>
  <si>
    <t>INDIAN RAILWAY CATERING &amp; TOURISM CORPORATION LTD</t>
  </si>
  <si>
    <t>ITC LTD</t>
  </si>
  <si>
    <t>HCL TECHNOLOGIES LTD</t>
  </si>
  <si>
    <t>EICHER MOTORS LTD</t>
  </si>
  <si>
    <t>GAIL (INDIA) LTD</t>
  </si>
  <si>
    <t>POLYCAB INDIA LTD</t>
  </si>
  <si>
    <t>BSE LTD</t>
  </si>
  <si>
    <t>MPHASIS LTD</t>
  </si>
  <si>
    <t>TATA STEEL LTD</t>
  </si>
  <si>
    <t>ASIAN PAINTS LTD</t>
  </si>
  <si>
    <t>BAJAJ AUTO LTD</t>
  </si>
  <si>
    <t>NESTLE INDIA LTD</t>
  </si>
  <si>
    <t>TATA CONSULTANCY SERVICES LTD</t>
  </si>
  <si>
    <t>MOTILAL OSWAL FINANCIAL SERVICES LTD</t>
  </si>
  <si>
    <t>CIPLA LTD</t>
  </si>
  <si>
    <t>ICICI LOMBARD GENERAL INSURANCE COMPANY LTD</t>
  </si>
  <si>
    <t>DR REDDYS LABORATORIES LTD</t>
  </si>
  <si>
    <t>MAZAGON DOCK SHIPBUILDERS LTD</t>
  </si>
  <si>
    <t>ASTRAL LTD</t>
  </si>
  <si>
    <t>KEI INDUSTRIES LTD</t>
  </si>
  <si>
    <t>TITAN COMPANY LTD</t>
  </si>
  <si>
    <t>AVENUE SUPERMARTS LTD</t>
  </si>
  <si>
    <t>ACC LTD</t>
  </si>
  <si>
    <t>MARUTI SUZUKI INDIA LTD</t>
  </si>
  <si>
    <t>BHARAT PETROLEUM CORPORATION LTD</t>
  </si>
  <si>
    <t>GODFREY PHILLIPS INDIA LTD</t>
  </si>
  <si>
    <t>HINDUSTAN ZINC LTD</t>
  </si>
  <si>
    <t>ADANI TOTAL GAS LTD</t>
  </si>
  <si>
    <t>COAL INDIA LTD</t>
  </si>
  <si>
    <t>COFORGE LTD</t>
  </si>
  <si>
    <t>ADANI POWER LTD</t>
  </si>
  <si>
    <t>EXIDE INDUSTRIES LTD</t>
  </si>
  <si>
    <t>DIXON TECHNOLOGIES (INDIA) LTD</t>
  </si>
  <si>
    <t>APL APOLLO TUBES LTD</t>
  </si>
  <si>
    <t>OIL &amp; NATURAL GAS CORPN LTD</t>
  </si>
  <si>
    <t>COROMANDEL INTERNATIONAL LTD</t>
  </si>
  <si>
    <t>HINDUSTAN UNILEVER LTD</t>
  </si>
  <si>
    <t>BOSCH LTD</t>
  </si>
  <si>
    <t>TVS MOTOR COMPANY LTD</t>
  </si>
  <si>
    <t>COLGATE-PALMOLIVE (INDIA) LTD</t>
  </si>
  <si>
    <t>GODREJ PROPERTIES LTD</t>
  </si>
  <si>
    <t>PAGE INDUSTRIES LTD</t>
  </si>
  <si>
    <t>SOLAR INDUSTRIES INDIA LTD</t>
  </si>
  <si>
    <t>DIVIS LABORATORIES LTD</t>
  </si>
  <si>
    <t>MAHINDRA &amp; MAHINDRA LTD</t>
  </si>
  <si>
    <t>PIDILITE INDUSTRIES LTD</t>
  </si>
  <si>
    <t>ALKEM LABORATORIES LTD</t>
  </si>
  <si>
    <t>HAVELLS INDIA LTD</t>
  </si>
  <si>
    <t>TECH MAHINDRA LTD</t>
  </si>
  <si>
    <t>DABUR INDIA LTD</t>
  </si>
  <si>
    <t>SBI LIFE INSURANCE COMPANY LTD</t>
  </si>
  <si>
    <t>PB FINTECH LTD</t>
  </si>
  <si>
    <t>HINDUSTAN PETROLEUM CORPORATION LTD</t>
  </si>
  <si>
    <t>HINDUSTAN AERONAUTICS LTD</t>
  </si>
  <si>
    <t>LIFE INSURANCE CORPORATION OF INDIA</t>
  </si>
  <si>
    <t>HYUNDAI MOTOR INDIA LTD</t>
  </si>
  <si>
    <t>ZYDUS LIFESCIENCES LTD</t>
  </si>
  <si>
    <t>MARICO LTD</t>
  </si>
  <si>
    <t>BRITANNIA INDUSTRIES LTD</t>
  </si>
  <si>
    <t>CUMMINS INDIA LTD</t>
  </si>
  <si>
    <t>SONA BLW PRECISION FORGINGS LTD</t>
  </si>
  <si>
    <t>ASHOK LEYLAND LTD</t>
  </si>
  <si>
    <t>SIEMENS LTD</t>
  </si>
  <si>
    <t>TATA CONSUMER PRODUCTS LTD</t>
  </si>
  <si>
    <t>SRF LTD</t>
  </si>
  <si>
    <t>OBEROI REALTY LTD</t>
  </si>
  <si>
    <t>SBI CARDS &amp; PAYMENT SERVICES LTD</t>
  </si>
  <si>
    <t>CG POWER &amp; INDUSTRIAL SOLUTIONS LTD</t>
  </si>
  <si>
    <t>HINDALCO INDUSTRIES LTD</t>
  </si>
  <si>
    <t>RAIL VIKAS NIGAM LTD</t>
  </si>
  <si>
    <t>VOLTAS LTD</t>
  </si>
  <si>
    <t>SIEMENS ENERGY INDIA LTD</t>
  </si>
  <si>
    <t>SHREE CEMENT LTD</t>
  </si>
  <si>
    <t>LUPIN LTD</t>
  </si>
  <si>
    <t>INDIAN OIL CORPORATION LTD</t>
  </si>
  <si>
    <t>MUTHOOT FINANCE LTD</t>
  </si>
  <si>
    <t>AMBUJA CEMENTS LTD</t>
  </si>
  <si>
    <t>ABB INDIA LTD</t>
  </si>
  <si>
    <t>BAJAJ FINSERV LTD</t>
  </si>
  <si>
    <t>SHRIRAM FINANCE LTD</t>
  </si>
  <si>
    <t>GODREJ CONSUMER PRODUCTS LTD</t>
  </si>
  <si>
    <t>GLENMARK PHARMACEUTICALS LTD</t>
  </si>
  <si>
    <t>ULTRATECH CEMENT LTD</t>
  </si>
  <si>
    <t>WIPRO LTD</t>
  </si>
  <si>
    <t>L&amp;T FINANCE LTD</t>
  </si>
  <si>
    <t>AU SMALL FINANCE BANK LTD</t>
  </si>
  <si>
    <t>BAJAJ FINANCE LTD</t>
  </si>
  <si>
    <t>JINDAL STEEL LTD</t>
  </si>
  <si>
    <t>JSW STEEL LTD</t>
  </si>
  <si>
    <t>OIL INDIA LTD</t>
  </si>
  <si>
    <t>VARUN BEVERAGES LTD</t>
  </si>
  <si>
    <t>TRENT LTD</t>
  </si>
  <si>
    <t>360 ONE WAM LTD</t>
  </si>
  <si>
    <t>AUROBINDO PHARMA LTD</t>
  </si>
  <si>
    <t>JUBILANT FOODWORKS LTD</t>
  </si>
  <si>
    <t>BHARAT FORGE LTD</t>
  </si>
  <si>
    <t>CONTAINER CORPORATION OF INDIA LTD</t>
  </si>
  <si>
    <t>TATA TECHNOLOGIES LTD</t>
  </si>
  <si>
    <t>CHOLAMANDALAM INVESTMENT &amp; FINANCE COMPANY LTD</t>
  </si>
  <si>
    <t>POWER GRID CORPORATION OF INDIA LTD</t>
  </si>
  <si>
    <t>MRF LTD</t>
  </si>
  <si>
    <t>BLUE STAR LTD</t>
  </si>
  <si>
    <t>ADANI ENTERPRISES LTD</t>
  </si>
  <si>
    <t>BHARAT DYNAMICS LTD</t>
  </si>
  <si>
    <t>COCHIN SHIPYARD LTD</t>
  </si>
  <si>
    <t>BAJAJ HOLDINGS &amp; INVESTMENT LTD</t>
  </si>
  <si>
    <t>INDIAN HOTELS CO LTD</t>
  </si>
  <si>
    <t>KALYAN JEWELLERS INDIA LTD</t>
  </si>
  <si>
    <t>PATANJALI FOODS LTD</t>
  </si>
  <si>
    <t>IRB INFRASTRUCTURE DEVELOPERS LTD</t>
  </si>
  <si>
    <t>TORRENT POWER LTD</t>
  </si>
  <si>
    <t>ADITYA BIRLA CAPITAL LTD</t>
  </si>
  <si>
    <t>INDIAN BANK</t>
  </si>
  <si>
    <t>FSN E-COMMERCE VENTURES LTD</t>
  </si>
  <si>
    <t>TATA COMMUNICATIONS LTD</t>
  </si>
  <si>
    <t>HDFC BANK LTD</t>
  </si>
  <si>
    <t>HOUSING &amp; URBAN DEVELOPMENT CORPORATION LTD</t>
  </si>
  <si>
    <t>NTPC LTD</t>
  </si>
  <si>
    <t>ONE 97 COMMUNICATIONS LTD</t>
  </si>
  <si>
    <t>REC LTD</t>
  </si>
  <si>
    <t>ITC HOTELS LTD</t>
  </si>
  <si>
    <t>INTERGLOBE AVIATION LTD</t>
  </si>
  <si>
    <t>VEDANTA LTD</t>
  </si>
  <si>
    <t>SAMVARDHANA MOTHERSON INTERNATIONAL LTD</t>
  </si>
  <si>
    <t>RELIANCE INDUSTRIES LTD</t>
  </si>
  <si>
    <t>INDUSIND BANK LTD</t>
  </si>
  <si>
    <t>UNITED SPIRITS LTD</t>
  </si>
  <si>
    <t>MAHINDRA &amp; MAHINDRA FINANCIAL SERVICES LTD</t>
  </si>
  <si>
    <t>HDFC LIFE INSURANCE COMPANY LTD</t>
  </si>
  <si>
    <t>IDFC FIRST BANK LTD</t>
  </si>
  <si>
    <t>LARSEN &amp; TOUBRO LTD</t>
  </si>
  <si>
    <t>MANKIND PHARMA LTD</t>
  </si>
  <si>
    <t>MAX FINANCIAL SERVICES LTD</t>
  </si>
  <si>
    <t>FEDERAL BANK LTD</t>
  </si>
  <si>
    <t>TUBE INVESTMENTS OF INDIA LTD</t>
  </si>
  <si>
    <t>UNION BANK OF INDIA</t>
  </si>
  <si>
    <t>SWIGGY LTD</t>
  </si>
  <si>
    <t>LIC HOUSING FINANCE LTD</t>
  </si>
  <si>
    <t>POWER FINANCE CORPORATION LTD</t>
  </si>
  <si>
    <t>SUZLON ENERGY LTD</t>
  </si>
  <si>
    <t>STEEL AUTHORITY OF INDIA LTD</t>
  </si>
  <si>
    <t>KPIT TECHNOLOGIES LTD</t>
  </si>
  <si>
    <t>KOTAK MAHINDRA BANK LTD</t>
  </si>
  <si>
    <t>TORRENT PHARMACEUTICALS LTD</t>
  </si>
  <si>
    <t>UPL LTD</t>
  </si>
  <si>
    <t>STATE BANK OF INDIA</t>
  </si>
  <si>
    <t>APOLLO HOSPITALS ENTERPRISE LTD</t>
  </si>
  <si>
    <t>ICICI BANK LTD</t>
  </si>
  <si>
    <t>TATA MOTORS LTD</t>
  </si>
  <si>
    <t>WAAREE ENERGIES LTD</t>
  </si>
  <si>
    <t>NHPC LTD</t>
  </si>
  <si>
    <t>GRASIM INDUSTRIES LTD</t>
  </si>
  <si>
    <t>MAX HEALTHCARE INSTITUTE LTD</t>
  </si>
  <si>
    <t>INDIAN RAILWAY FINANCE CORPORATION LTD</t>
  </si>
  <si>
    <t>BIOCON LTD</t>
  </si>
  <si>
    <t>ADANI ENERGY SOLUTIONS LTD</t>
  </si>
  <si>
    <t>LODHA DEVELOPERS LTD</t>
  </si>
  <si>
    <t>AXIS BANK LTD</t>
  </si>
  <si>
    <t>BANK OF BARODA</t>
  </si>
  <si>
    <t>TATA POWER COMPANY LTD</t>
  </si>
  <si>
    <t>CANARA BANK</t>
  </si>
  <si>
    <t>PUNJAB NATIONAL BANK</t>
  </si>
  <si>
    <t>HITACHI ENERGY INDIA LTD</t>
  </si>
  <si>
    <t>BHARTI AIRTEL LTD</t>
  </si>
  <si>
    <t>VODAFONE IDEA LTD</t>
  </si>
  <si>
    <t>ETERNAL LTD</t>
  </si>
  <si>
    <t>VISHAL MEGA MART LTD</t>
  </si>
  <si>
    <t>BHARAT HEAVY ELECTRICALS LTD</t>
  </si>
  <si>
    <t>FORTIS HEALTHCARE LTD</t>
  </si>
  <si>
    <t>PREMIER ENERGIES LTD</t>
  </si>
  <si>
    <t>BANK OF INDIA</t>
  </si>
  <si>
    <t>YES BANK LTD</t>
  </si>
  <si>
    <t>PRESTIGE ESTATES PROJECTS LTD</t>
  </si>
  <si>
    <t>PHOENIX MILLS LTD</t>
  </si>
  <si>
    <t>BHARTI HEXACOM LTD</t>
  </si>
  <si>
    <t>SUN PHARMACEUTICAL INDUSTRIES LTD</t>
  </si>
  <si>
    <t>INDIAN RENEWABLE ENERGY DEVELOPMENT AGENCY LTD</t>
  </si>
  <si>
    <t>GMR AIRPORTS LTD</t>
  </si>
  <si>
    <t>DLF LTD</t>
  </si>
  <si>
    <t>NTPC GREEN ENERGY LTD</t>
  </si>
  <si>
    <t>ADANI PORTS &amp; SPECIAL ECONOMIC ZONE LTD</t>
  </si>
  <si>
    <t>JSW ENERGY LTD</t>
  </si>
  <si>
    <t>BAJAJ HOUSING FINANCE LTD</t>
  </si>
  <si>
    <t>JIO FINANCIAL SERVICES LTD</t>
  </si>
  <si>
    <t>ADANI GREEN ENERGY LTD</t>
  </si>
  <si>
    <t>Master Sheet - Raw Data</t>
  </si>
  <si>
    <t>Growth Metrics (0.25)</t>
  </si>
  <si>
    <t>Return Metrics (0.25)</t>
  </si>
  <si>
    <t>Leverage Metrics (0.25)</t>
  </si>
  <si>
    <t>Valuation Metrics (0.25)</t>
  </si>
  <si>
    <t>10Y Sales CAGR</t>
  </si>
  <si>
    <t>10Y EBITDA CAGR</t>
  </si>
  <si>
    <t>10Y Net Profit CAGR</t>
  </si>
  <si>
    <t>10Y Mean ROCE</t>
  </si>
  <si>
    <t>10Y Mean ROE</t>
  </si>
  <si>
    <t>10Y Mean ROA</t>
  </si>
  <si>
    <t>Asset Turnover Ratio - Current</t>
  </si>
  <si>
    <t>10Y Debt to Equity Mean</t>
  </si>
  <si>
    <t>10Y Debt to EBITDA Mean</t>
  </si>
  <si>
    <t>10Y Interest Coverage Ratio Mean</t>
  </si>
  <si>
    <t>Current EV/EBITDA Ratio</t>
  </si>
  <si>
    <t>Current PEG Ratio</t>
  </si>
  <si>
    <t>Current P/B Ratio</t>
  </si>
  <si>
    <t>Percentile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</si>
</sst>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x;\ \-0.00\x;\ \-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 style="thin">
        <color rgb="FF9CC2E5"/>
      </left>
      <top/>
      <bottom/>
    </border>
    <border>
      <top/>
      <bottom/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3" fillId="2" fontId="2" numFmtId="0" xfId="0" applyAlignment="1" applyBorder="1" applyFont="1">
      <alignment horizontal="center" vertical="center"/>
    </xf>
    <xf borderId="4" fillId="0" fontId="3" numFmtId="0" xfId="0" applyBorder="1" applyFont="1"/>
    <xf borderId="5" fillId="2" fontId="2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3">
    <tableStyle count="3" pivot="0" name="Total Score-style">
      <tableStyleElement dxfId="1" type="headerRow"/>
      <tableStyleElement dxfId="2" type="firstRowStripe"/>
      <tableStyleElement dxfId="3" type="secondRowStripe"/>
    </tableStyle>
    <tableStyle count="3" pivot="0" name="Master Data-style">
      <tableStyleElement dxfId="1" type="headerRow"/>
      <tableStyleElement dxfId="2" type="firstRowStripe"/>
      <tableStyleElement dxfId="3" type="secondRowStripe"/>
    </tableStyle>
    <tableStyle count="3" pivot="0" name="Percentile Rank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G203" displayName="Table_1" name="Table_1" id="1">
  <tableColumns count="6">
    <tableColumn name="Company" id="1"/>
    <tableColumn name="Growth Score" id="2"/>
    <tableColumn name="Return Score" id="3"/>
    <tableColumn name="Leverage Score" id="4"/>
    <tableColumn name="Valuation Score" id="5"/>
    <tableColumn name="Total Score = Growth Score * 0.25 + Return Score * 0.25 + Leverage Score * 0.25 + Valuation Score * 0.25" id="6"/>
  </tableColumns>
  <tableStyleInfo name="Total Score-style" showColumnStripes="0" showFirstColumn="1" showLastColumn="1" showRowStripes="1"/>
</table>
</file>

<file path=xl/tables/table2.xml><?xml version="1.0" encoding="utf-8"?>
<table xmlns="http://schemas.openxmlformats.org/spreadsheetml/2006/main" ref="B4:O204" displayName="Table_2" name="Table_2" id="2">
  <tableColumns count="14">
    <tableColumn name="Company" id="1"/>
    <tableColumn name="10Y Sales CAGR" id="2"/>
    <tableColumn name="10Y EBITDA CAGR" id="3"/>
    <tableColumn name="10Y Net Profit CAGR" id="4"/>
    <tableColumn name="10Y Mean ROCE" id="5"/>
    <tableColumn name="10Y Mean ROE" id="6"/>
    <tableColumn name="10Y Mean ROA" id="7"/>
    <tableColumn name="Asset Turnover Ratio - Current" id="8"/>
    <tableColumn name="10Y Debt to Equity Mean" id="9"/>
    <tableColumn name="10Y Debt to EBITDA Mean" id="10"/>
    <tableColumn name="10Y Interest Coverage Ratio Mean" id="11"/>
    <tableColumn name="Current EV/EBITDA Ratio" id="12"/>
    <tableColumn name="Current PEG Ratio" id="13"/>
    <tableColumn name="Current P/B Ratio" id="14"/>
  </tableColumns>
  <tableStyleInfo name="Master Data-style" showColumnStripes="0" showFirstColumn="1" showLastColumn="1" showRowStripes="1"/>
</table>
</file>

<file path=xl/tables/table3.xml><?xml version="1.0" encoding="utf-8"?>
<table xmlns="http://schemas.openxmlformats.org/spreadsheetml/2006/main" ref="B4:O204" displayName="Table_3" name="Table_3" id="3">
  <tableColumns count="14">
    <tableColumn name="Company" id="1"/>
    <tableColumn name="10Y Sales CAGR" id="2"/>
    <tableColumn name="10Y EBITDA CAGR" id="3"/>
    <tableColumn name="10Y Net Profit CAGR" id="4"/>
    <tableColumn name="10Y Mean ROCE" id="5"/>
    <tableColumn name="10Y Mean ROE" id="6"/>
    <tableColumn name="10Y Mean ROA" id="7"/>
    <tableColumn name="Asset Turnover Ratio - Current" id="8"/>
    <tableColumn name="10Y Debt to Equity Mean" id="9"/>
    <tableColumn name="10Y Debt to EBITDA Mean" id="10"/>
    <tableColumn name="10Y Interest Coverage Ratio Mean" id="11"/>
    <tableColumn name="Current EV/EBITDA Ratio" id="12"/>
    <tableColumn name="Current PEG Ratio" id="13"/>
    <tableColumn name="Current P/B Ratio" id="14"/>
  </tableColumns>
  <tableStyleInfo name="Percentile Ran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71"/>
    <col customWidth="1" min="4" max="4" width="16.29"/>
    <col customWidth="1" min="5" max="5" width="18.29"/>
    <col customWidth="1" min="6" max="6" width="18.71"/>
    <col customWidth="1" min="7" max="7" width="87.86"/>
    <col customWidth="1" min="8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8</v>
      </c>
      <c r="C4" s="7">
        <f>'Percentile Ranking'!C120/3+'Percentile Ranking'!D120/3+'Percentile Ranking'!E120/3</f>
        <v>0.856</v>
      </c>
      <c r="D4" s="7">
        <f>'Percentile Ranking'!F120*0.25+'Percentile Ranking'!G120*0.25+'Percentile Ranking'!H120*0.25+'Percentile Ranking'!I120*0.25</f>
        <v>0.901</v>
      </c>
      <c r="E4" s="7">
        <f>'Percentile Ranking'!J120/3 + 'Percentile Ranking'!K120/3 + 'Percentile Ranking'!L120/3</f>
        <v>0.7033333333</v>
      </c>
      <c r="F4" s="7">
        <f>'Percentile Ranking'!M120/3 + 'Percentile Ranking'!N120/3 + 'Percentile Ranking'!O120/3</f>
        <v>0.6783333333</v>
      </c>
      <c r="G4" s="7">
        <f t="shared" ref="G4:G203" si="1">C4 * 0.25 + D4 * 0.25 + E4 * 0.25 + F4 * 0.25</f>
        <v>0.7846666667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9</v>
      </c>
      <c r="C5" s="7">
        <f>'Percentile Ranking'!C134/3+'Percentile Ranking'!D134/3+'Percentile Ranking'!E134/3</f>
        <v>0.754</v>
      </c>
      <c r="D5" s="7">
        <f>'Percentile Ranking'!F134*0.25+'Percentile Ranking'!G134*0.25+'Percentile Ranking'!H134*0.25+'Percentile Ranking'!I134*0.25</f>
        <v>0.632</v>
      </c>
      <c r="E5" s="7">
        <f>'Percentile Ranking'!J134/3 + 'Percentile Ranking'!K134/3 + 'Percentile Ranking'!L134/3</f>
        <v>0.903</v>
      </c>
      <c r="F5" s="7">
        <f>'Percentile Ranking'!M134/3 + 'Percentile Ranking'!N134/3 + 'Percentile Ranking'!O134/3</f>
        <v>0.846</v>
      </c>
      <c r="G5" s="7">
        <f t="shared" si="1"/>
        <v>0.78375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10</v>
      </c>
      <c r="C6" s="7">
        <f>'Percentile Ranking'!C97/3+'Percentile Ranking'!D97/3+'Percentile Ranking'!E97/3</f>
        <v>0.638</v>
      </c>
      <c r="D6" s="7">
        <f>'Percentile Ranking'!F97*0.25+'Percentile Ranking'!G97*0.25+'Percentile Ranking'!H97*0.25+'Percentile Ranking'!I97*0.25</f>
        <v>0.78275</v>
      </c>
      <c r="E6" s="7">
        <f>'Percentile Ranking'!J97/3 + 'Percentile Ranking'!K97/3 + 'Percentile Ranking'!L97/3</f>
        <v>0.859</v>
      </c>
      <c r="F6" s="7">
        <f>'Percentile Ranking'!M97/3 + 'Percentile Ranking'!N97/3 + 'Percentile Ranking'!O97/3</f>
        <v>0.789</v>
      </c>
      <c r="G6" s="7">
        <f t="shared" si="1"/>
        <v>0.7671875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 t="s">
        <v>11</v>
      </c>
      <c r="C7" s="7">
        <f>'Percentile Ranking'!C180/3+'Percentile Ranking'!D180/3+'Percentile Ranking'!E180/3</f>
        <v>0.7306666667</v>
      </c>
      <c r="D7" s="7">
        <f>'Percentile Ranking'!F180*0.25+'Percentile Ranking'!G180*0.25+'Percentile Ranking'!H180*0.25+'Percentile Ranking'!I180*0.25</f>
        <v>0.8985</v>
      </c>
      <c r="E7" s="7">
        <f>'Percentile Ranking'!J180/3 + 'Percentile Ranking'!K180/3 + 'Percentile Ranking'!L180/3</f>
        <v>0.7606666667</v>
      </c>
      <c r="F7" s="7">
        <f>'Percentile Ranking'!M180/3 + 'Percentile Ranking'!N180/3 + 'Percentile Ranking'!O180/3</f>
        <v>0.5493333333</v>
      </c>
      <c r="G7" s="7">
        <f t="shared" si="1"/>
        <v>0.7347916667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" t="s">
        <v>12</v>
      </c>
      <c r="C8" s="7">
        <f>'Percentile Ranking'!C137/3+'Percentile Ranking'!D137/3+'Percentile Ranking'!E137/3</f>
        <v>0.608</v>
      </c>
      <c r="D8" s="7">
        <f>'Percentile Ranking'!F137*0.25+'Percentile Ranking'!G137*0.25+'Percentile Ranking'!H137*0.25+'Percentile Ranking'!I137*0.25</f>
        <v>0.7675</v>
      </c>
      <c r="E8" s="7">
        <f>'Percentile Ranking'!J137/3 + 'Percentile Ranking'!K137/3 + 'Percentile Ranking'!L137/3</f>
        <v>0.7583333333</v>
      </c>
      <c r="F8" s="7">
        <f>'Percentile Ranking'!M137/3 + 'Percentile Ranking'!N137/3 + 'Percentile Ranking'!O137/3</f>
        <v>0.7823333333</v>
      </c>
      <c r="G8" s="7">
        <f t="shared" si="1"/>
        <v>0.7290416667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 t="s">
        <v>13</v>
      </c>
      <c r="C9" s="7">
        <f>'Percentile Ranking'!C174/3+'Percentile Ranking'!D174/3+'Percentile Ranking'!E174/3</f>
        <v>0.6836666667</v>
      </c>
      <c r="D9" s="7">
        <f>'Percentile Ranking'!F174*0.25+'Percentile Ranking'!G174*0.25+'Percentile Ranking'!H174*0.25+'Percentile Ranking'!I174*0.25</f>
        <v>0.869</v>
      </c>
      <c r="E9" s="7">
        <f>'Percentile Ranking'!J174/3 + 'Percentile Ranking'!K174/3 + 'Percentile Ranking'!L174/3</f>
        <v>0.7253333333</v>
      </c>
      <c r="F9" s="7">
        <f>'Percentile Ranking'!M174/3 + 'Percentile Ranking'!N174/3 + 'Percentile Ranking'!O174/3</f>
        <v>0.5643333333</v>
      </c>
      <c r="G9" s="7">
        <f t="shared" si="1"/>
        <v>0.7105833333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14</v>
      </c>
      <c r="C10" s="7">
        <f>'Percentile Ranking'!C76/3+'Percentile Ranking'!D76/3+'Percentile Ranking'!E76/3</f>
        <v>0.7036666667</v>
      </c>
      <c r="D10" s="7">
        <f>'Percentile Ranking'!F76*0.25+'Percentile Ranking'!G76*0.25+'Percentile Ranking'!H76*0.25+'Percentile Ranking'!I76*0.25</f>
        <v>0.80175</v>
      </c>
      <c r="E10" s="7">
        <f>'Percentile Ranking'!J76/3 + 'Percentile Ranking'!K76/3 + 'Percentile Ranking'!L76/3</f>
        <v>0.933</v>
      </c>
      <c r="F10" s="7">
        <f>'Percentile Ranking'!M76/3 + 'Percentile Ranking'!N76/3 + 'Percentile Ranking'!O76/3</f>
        <v>0.3936666667</v>
      </c>
      <c r="G10" s="7">
        <f t="shared" si="1"/>
        <v>0.7080208333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15</v>
      </c>
      <c r="C11" s="7">
        <f>'Percentile Ranking'!C98/3+'Percentile Ranking'!D98/3+'Percentile Ranking'!E98/3</f>
        <v>0.8876666667</v>
      </c>
      <c r="D11" s="7">
        <f>'Percentile Ranking'!F98*0.25+'Percentile Ranking'!G98*0.25+'Percentile Ranking'!H98*0.25+'Percentile Ranking'!I98*0.25</f>
        <v>0.642</v>
      </c>
      <c r="E11" s="7">
        <f>'Percentile Ranking'!J98/3 + 'Percentile Ranking'!K98/3 + 'Percentile Ranking'!L98/3</f>
        <v>0.4823333333</v>
      </c>
      <c r="F11" s="7">
        <f>'Percentile Ranking'!M98/3 + 'Percentile Ranking'!N98/3 + 'Percentile Ranking'!O98/3</f>
        <v>0.8006666667</v>
      </c>
      <c r="G11" s="7">
        <f t="shared" si="1"/>
        <v>0.7031666667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16</v>
      </c>
      <c r="C12" s="7">
        <f>'Percentile Ranking'!C101/3+'Percentile Ranking'!D101/3+'Percentile Ranking'!E101/3</f>
        <v>0.4473333333</v>
      </c>
      <c r="D12" s="7">
        <f>'Percentile Ranking'!F101*0.25+'Percentile Ranking'!G101*0.25+'Percentile Ranking'!H101*0.25+'Percentile Ranking'!I101*0.25</f>
        <v>0.88225</v>
      </c>
      <c r="E12" s="7">
        <f>'Percentile Ranking'!J101/3 + 'Percentile Ranking'!K101/3 + 'Percentile Ranking'!L101/3</f>
        <v>0.799</v>
      </c>
      <c r="F12" s="7">
        <f>'Percentile Ranking'!M101/3 + 'Percentile Ranking'!N101/3 + 'Percentile Ranking'!O101/3</f>
        <v>0.6563333333</v>
      </c>
      <c r="G12" s="7">
        <f t="shared" si="1"/>
        <v>0.6962291667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17</v>
      </c>
      <c r="C13" s="7">
        <f>'Percentile Ranking'!C100/3+'Percentile Ranking'!D100/3+'Percentile Ranking'!E100/3</f>
        <v>0.8276666667</v>
      </c>
      <c r="D13" s="7">
        <f>'Percentile Ranking'!F100*0.25+'Percentile Ranking'!G100*0.25+'Percentile Ranking'!H100*0.25+'Percentile Ranking'!I100*0.25</f>
        <v>0.466</v>
      </c>
      <c r="E13" s="7">
        <f>'Percentile Ranking'!J100/3 + 'Percentile Ranking'!K100/3 + 'Percentile Ranking'!L100/3</f>
        <v>0.8306666667</v>
      </c>
      <c r="F13" s="7">
        <f>'Percentile Ranking'!M100/3 + 'Percentile Ranking'!N100/3 + 'Percentile Ranking'!O100/3</f>
        <v>0.5933333333</v>
      </c>
      <c r="G13" s="7">
        <f t="shared" si="1"/>
        <v>0.6794166667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18</v>
      </c>
      <c r="C14" s="7">
        <f>'Percentile Ranking'!C149/3+'Percentile Ranking'!D149/3+'Percentile Ranking'!E149/3</f>
        <v>0.8243333333</v>
      </c>
      <c r="D14" s="7">
        <f>'Percentile Ranking'!F149*0.25+'Percentile Ranking'!G149*0.25+'Percentile Ranking'!H149*0.25+'Percentile Ranking'!I149*0.25</f>
        <v>0.81275</v>
      </c>
      <c r="E14" s="7">
        <f>'Percentile Ranking'!J149/3 + 'Percentile Ranking'!K149/3 + 'Percentile Ranking'!L149/3</f>
        <v>0.881</v>
      </c>
      <c r="F14" s="7">
        <f>'Percentile Ranking'!M149/3 + 'Percentile Ranking'!N149/3 + 'Percentile Ranking'!O149/3</f>
        <v>0.1743333333</v>
      </c>
      <c r="G14" s="7">
        <f t="shared" si="1"/>
        <v>0.6731041667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19</v>
      </c>
      <c r="C15" s="7">
        <f>'Percentile Ranking'!C34/3+'Percentile Ranking'!D34/3+'Percentile Ranking'!E34/3</f>
        <v>0.725</v>
      </c>
      <c r="D15" s="7">
        <f>'Percentile Ranking'!F34*0.25+'Percentile Ranking'!G34*0.25+'Percentile Ranking'!H34*0.25+'Percentile Ranking'!I34*0.25</f>
        <v>0.682</v>
      </c>
      <c r="E15" s="7">
        <f>'Percentile Ranking'!J34/3 + 'Percentile Ranking'!K34/3 + 'Percentile Ranking'!L34/3</f>
        <v>0.913</v>
      </c>
      <c r="F15" s="7">
        <f>'Percentile Ranking'!M34/3 + 'Percentile Ranking'!N34/3 + 'Percentile Ranking'!O34/3</f>
        <v>0.3616666667</v>
      </c>
      <c r="G15" s="7">
        <f t="shared" si="1"/>
        <v>0.6704166667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 t="s">
        <v>20</v>
      </c>
      <c r="C16" s="7">
        <f>'Percentile Ranking'!C144/3+'Percentile Ranking'!D144/3+'Percentile Ranking'!E144/3</f>
        <v>0.4103333333</v>
      </c>
      <c r="D16" s="7">
        <f>'Percentile Ranking'!F144*0.25+'Percentile Ranking'!G144*0.25+'Percentile Ranking'!H144*0.25+'Percentile Ranking'!I144*0.25</f>
        <v>0.84425</v>
      </c>
      <c r="E16" s="7">
        <f>'Percentile Ranking'!J144/3 + 'Percentile Ranking'!K144/3 + 'Percentile Ranking'!L144/3</f>
        <v>0.923</v>
      </c>
      <c r="F16" s="7">
        <f>'Percentile Ranking'!M144/3 + 'Percentile Ranking'!N144/3 + 'Percentile Ranking'!O144/3</f>
        <v>0.5026666667</v>
      </c>
      <c r="G16" s="7">
        <f t="shared" si="1"/>
        <v>0.6700625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21</v>
      </c>
      <c r="C17" s="7">
        <f>'Percentile Ranking'!C79/3+'Percentile Ranking'!D79/3+'Percentile Ranking'!E79/3</f>
        <v>0.253</v>
      </c>
      <c r="D17" s="7">
        <f>'Percentile Ranking'!F79*0.25+'Percentile Ranking'!G79*0.25+'Percentile Ranking'!H79*0.25+'Percentile Ranking'!I79*0.25</f>
        <v>0.879</v>
      </c>
      <c r="E17" s="7">
        <f>'Percentile Ranking'!J79/3 + 'Percentile Ranking'!K79/3 + 'Percentile Ranking'!L79/3</f>
        <v>0.8943333333</v>
      </c>
      <c r="F17" s="7">
        <f>'Percentile Ranking'!M79/3 + 'Percentile Ranking'!N79/3 + 'Percentile Ranking'!O79/3</f>
        <v>0.648</v>
      </c>
      <c r="G17" s="7">
        <f t="shared" si="1"/>
        <v>0.6685833333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 t="s">
        <v>22</v>
      </c>
      <c r="C18" s="7">
        <f>'Percentile Ranking'!C145/3+'Percentile Ranking'!D145/3+'Percentile Ranking'!E145/3</f>
        <v>0.7923333333</v>
      </c>
      <c r="D18" s="7">
        <f>'Percentile Ranking'!F145*0.25+'Percentile Ranking'!G145*0.25+'Percentile Ranking'!H145*0.25+'Percentile Ranking'!I145*0.25</f>
        <v>0.69975</v>
      </c>
      <c r="E18" s="7">
        <f>'Percentile Ranking'!J145/3 + 'Percentile Ranking'!K145/3 + 'Percentile Ranking'!L145/3</f>
        <v>0.727</v>
      </c>
      <c r="F18" s="7">
        <f>'Percentile Ranking'!M145/3 + 'Percentile Ranking'!N145/3 + 'Percentile Ranking'!O145/3</f>
        <v>0.4523333333</v>
      </c>
      <c r="G18" s="7">
        <f t="shared" si="1"/>
        <v>0.6678541667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23</v>
      </c>
      <c r="C19" s="7">
        <f>'Percentile Ranking'!C94/3+'Percentile Ranking'!D94/3+'Percentile Ranking'!E94/3</f>
        <v>0.8193333333</v>
      </c>
      <c r="D19" s="7">
        <f>'Percentile Ranking'!F94*0.25+'Percentile Ranking'!G94*0.25+'Percentile Ranking'!H94*0.25+'Percentile Ranking'!I94*0.25</f>
        <v>0.81425</v>
      </c>
      <c r="E19" s="7">
        <f>'Percentile Ranking'!J94/3 + 'Percentile Ranking'!K94/3 + 'Percentile Ranking'!L94/3</f>
        <v>0.7823333333</v>
      </c>
      <c r="F19" s="7">
        <f>'Percentile Ranking'!M94/3 + 'Percentile Ranking'!N94/3 + 'Percentile Ranking'!O94/3</f>
        <v>0.253</v>
      </c>
      <c r="G19" s="7">
        <f t="shared" si="1"/>
        <v>0.6672291667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24</v>
      </c>
      <c r="C20" s="7">
        <f>'Percentile Ranking'!C105/3+'Percentile Ranking'!D105/3+'Percentile Ranking'!E105/3</f>
        <v>0.4323333333</v>
      </c>
      <c r="D20" s="7">
        <f>'Percentile Ranking'!F105*0.25+'Percentile Ranking'!G105*0.25+'Percentile Ranking'!H105*0.25+'Percentile Ranking'!I105*0.25</f>
        <v>0.76375</v>
      </c>
      <c r="E20" s="7">
        <f>'Percentile Ranking'!J105/3 + 'Percentile Ranking'!K105/3 + 'Percentile Ranking'!L105/3</f>
        <v>0.9263333333</v>
      </c>
      <c r="F20" s="7">
        <f>'Percentile Ranking'!M105/3 + 'Percentile Ranking'!N105/3 + 'Percentile Ranking'!O105/3</f>
        <v>0.5426666667</v>
      </c>
      <c r="G20" s="7">
        <f t="shared" si="1"/>
        <v>0.6662708333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 t="s">
        <v>25</v>
      </c>
      <c r="C21" s="7">
        <f>'Percentile Ranking'!C75/3+'Percentile Ranking'!D75/3+'Percentile Ranking'!E75/3</f>
        <v>0.643</v>
      </c>
      <c r="D21" s="7">
        <f>'Percentile Ranking'!F75*0.25+'Percentile Ranking'!G75*0.25+'Percentile Ranking'!H75*0.25+'Percentile Ranking'!I75*0.25</f>
        <v>0.87925</v>
      </c>
      <c r="E21" s="7">
        <f>'Percentile Ranking'!J75/3 + 'Percentile Ranking'!K75/3 + 'Percentile Ranking'!L75/3</f>
        <v>0.854</v>
      </c>
      <c r="F21" s="7">
        <f>'Percentile Ranking'!M75/3 + 'Percentile Ranking'!N75/3 + 'Percentile Ranking'!O75/3</f>
        <v>0.2746666667</v>
      </c>
      <c r="G21" s="7">
        <f t="shared" si="1"/>
        <v>0.6627291667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 t="s">
        <v>26</v>
      </c>
      <c r="C22" s="7">
        <f>'Percentile Ranking'!C61/3+'Percentile Ranking'!D61/3+'Percentile Ranking'!E61/3</f>
        <v>0.5863333333</v>
      </c>
      <c r="D22" s="7">
        <f>'Percentile Ranking'!F61*0.25+'Percentile Ranking'!G61*0.25+'Percentile Ranking'!H61*0.25+'Percentile Ranking'!I61*0.25</f>
        <v>0.809</v>
      </c>
      <c r="E22" s="7">
        <f>'Percentile Ranking'!J61/3 + 'Percentile Ranking'!K61/3 + 'Percentile Ranking'!L61/3</f>
        <v>0.8926666667</v>
      </c>
      <c r="F22" s="7">
        <f>'Percentile Ranking'!M61/3 + 'Percentile Ranking'!N61/3 + 'Percentile Ranking'!O61/3</f>
        <v>0.355</v>
      </c>
      <c r="G22" s="7">
        <f t="shared" si="1"/>
        <v>0.66075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 t="s">
        <v>27</v>
      </c>
      <c r="C23" s="7">
        <f>'Percentile Ranking'!C67/3+'Percentile Ranking'!D67/3+'Percentile Ranking'!E67/3</f>
        <v>0.6466666667</v>
      </c>
      <c r="D23" s="7">
        <f>'Percentile Ranking'!F67*0.25+'Percentile Ranking'!G67*0.25+'Percentile Ranking'!H67*0.25+'Percentile Ranking'!I67*0.25</f>
        <v>0.6105</v>
      </c>
      <c r="E23" s="7">
        <f>'Percentile Ranking'!J67/3 + 'Percentile Ranking'!K67/3 + 'Percentile Ranking'!L67/3</f>
        <v>0.5763333333</v>
      </c>
      <c r="F23" s="7">
        <f>'Percentile Ranking'!M67/3 + 'Percentile Ranking'!N67/3 + 'Percentile Ranking'!O67/3</f>
        <v>0.7973333333</v>
      </c>
      <c r="G23" s="7">
        <f t="shared" si="1"/>
        <v>0.6577083333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 t="s">
        <v>28</v>
      </c>
      <c r="C24" s="7">
        <f>'Percentile Ranking'!C152/3+'Percentile Ranking'!D152/3+'Percentile Ranking'!E152/3</f>
        <v>0.8693333333</v>
      </c>
      <c r="D24" s="7">
        <f>'Percentile Ranking'!F152*0.25+'Percentile Ranking'!G152*0.25+'Percentile Ranking'!H152*0.25+'Percentile Ranking'!I152*0.25</f>
        <v>0.8055</v>
      </c>
      <c r="E24" s="7">
        <f>'Percentile Ranking'!J152/3 + 'Percentile Ranking'!K152/3 + 'Percentile Ranking'!L152/3</f>
        <v>0.5996666667</v>
      </c>
      <c r="F24" s="7">
        <f>'Percentile Ranking'!M152/3 + 'Percentile Ranking'!N152/3 + 'Percentile Ranking'!O152/3</f>
        <v>0.3536666667</v>
      </c>
      <c r="G24" s="7">
        <f t="shared" si="1"/>
        <v>0.6570416667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 t="s">
        <v>29</v>
      </c>
      <c r="C25" s="7">
        <f>'Percentile Ranking'!C44/3+'Percentile Ranking'!D44/3+'Percentile Ranking'!E44/3</f>
        <v>0.898</v>
      </c>
      <c r="D25" s="7">
        <f>'Percentile Ranking'!F44*0.25+'Percentile Ranking'!G44*0.25+'Percentile Ranking'!H44*0.25+'Percentile Ranking'!I44*0.25</f>
        <v>0.52025</v>
      </c>
      <c r="E25" s="7">
        <f>'Percentile Ranking'!J44/3 + 'Percentile Ranking'!K44/3 + 'Percentile Ranking'!L44/3</f>
        <v>0.9546666667</v>
      </c>
      <c r="F25" s="7">
        <f>'Percentile Ranking'!M44/3 + 'Percentile Ranking'!N44/3 + 'Percentile Ranking'!O44/3</f>
        <v>0.248</v>
      </c>
      <c r="G25" s="7">
        <f t="shared" si="1"/>
        <v>0.6552291667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 t="s">
        <v>30</v>
      </c>
      <c r="C26" s="7">
        <f>'Percentile Ranking'!C131/3+'Percentile Ranking'!D131/3+'Percentile Ranking'!E131/3</f>
        <v>0.6683333333</v>
      </c>
      <c r="D26" s="7">
        <f>'Percentile Ranking'!F131*0.25+'Percentile Ranking'!G131*0.25+'Percentile Ranking'!H131*0.25+'Percentile Ranking'!I131*0.25</f>
        <v>0.83925</v>
      </c>
      <c r="E26" s="7">
        <f>'Percentile Ranking'!J131/3 + 'Percentile Ranking'!K131/3 + 'Percentile Ranking'!L131/3</f>
        <v>0.7573333333</v>
      </c>
      <c r="F26" s="7">
        <f>'Percentile Ranking'!M131/3 + 'Percentile Ranking'!N131/3 + 'Percentile Ranking'!O131/3</f>
        <v>0.352</v>
      </c>
      <c r="G26" s="7">
        <f t="shared" si="1"/>
        <v>0.6542291667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 t="s">
        <v>31</v>
      </c>
      <c r="C27" s="7">
        <f>'Percentile Ranking'!C183/3+'Percentile Ranking'!D183/3+'Percentile Ranking'!E183/3</f>
        <v>0.7926666667</v>
      </c>
      <c r="D27" s="7">
        <f>'Percentile Ranking'!F183*0.25+'Percentile Ranking'!G183*0.25+'Percentile Ranking'!H183*0.25+'Percentile Ranking'!I183*0.25</f>
        <v>0.52025</v>
      </c>
      <c r="E27" s="7">
        <f>'Percentile Ranking'!J183/3 + 'Percentile Ranking'!K183/3 + 'Percentile Ranking'!L183/3</f>
        <v>0.3986666667</v>
      </c>
      <c r="F27" s="7">
        <f>'Percentile Ranking'!M183/3 + 'Percentile Ranking'!N183/3 + 'Percentile Ranking'!O183/3</f>
        <v>0.871</v>
      </c>
      <c r="G27" s="7">
        <f t="shared" si="1"/>
        <v>0.6456458333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 t="s">
        <v>32</v>
      </c>
      <c r="C28" s="7">
        <f>'Percentile Ranking'!C20/3+'Percentile Ranking'!D20/3+'Percentile Ranking'!E20/3</f>
        <v>0.4706666667</v>
      </c>
      <c r="D28" s="7">
        <f>'Percentile Ranking'!F20*0.25+'Percentile Ranking'!G20*0.25+'Percentile Ranking'!H20*0.25+'Percentile Ranking'!I20*0.25</f>
        <v>0.8615</v>
      </c>
      <c r="E28" s="7">
        <f>'Percentile Ranking'!J20/3 + 'Percentile Ranking'!K20/3 + 'Percentile Ranking'!L20/3</f>
        <v>0.7606666667</v>
      </c>
      <c r="F28" s="7">
        <f>'Percentile Ranking'!M20/3 + 'Percentile Ranking'!N20/3 + 'Percentile Ranking'!O20/3</f>
        <v>0.4606666667</v>
      </c>
      <c r="G28" s="7">
        <f t="shared" si="1"/>
        <v>0.638375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33</v>
      </c>
      <c r="C29" s="7">
        <f>'Percentile Ranking'!C26/3+'Percentile Ranking'!D26/3+'Percentile Ranking'!E26/3</f>
        <v>0.4086666667</v>
      </c>
      <c r="D29" s="7">
        <f>'Percentile Ranking'!F26*0.25+'Percentile Ranking'!G26*0.25+'Percentile Ranking'!H26*0.25+'Percentile Ranking'!I26*0.25</f>
        <v>0.84675</v>
      </c>
      <c r="E29" s="7">
        <f>'Percentile Ranking'!J26/3 + 'Percentile Ranking'!K26/3 + 'Percentile Ranking'!L26/3</f>
        <v>0.901</v>
      </c>
      <c r="F29" s="7">
        <f>'Percentile Ranking'!M26/3 + 'Percentile Ranking'!N26/3 + 'Percentile Ranking'!O26/3</f>
        <v>0.3953333333</v>
      </c>
      <c r="G29" s="7">
        <f t="shared" si="1"/>
        <v>0.6379375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 t="s">
        <v>34</v>
      </c>
      <c r="C30" s="7">
        <f>'Percentile Ranking'!C135/3+'Percentile Ranking'!D135/3+'Percentile Ranking'!E135/3</f>
        <v>0.5006666667</v>
      </c>
      <c r="D30" s="7">
        <f>'Percentile Ranking'!F135*0.25+'Percentile Ranking'!G135*0.25+'Percentile Ranking'!H135*0.25+'Percentile Ranking'!I135*0.25</f>
        <v>0.97375</v>
      </c>
      <c r="E30" s="7">
        <f>'Percentile Ranking'!J135/3 + 'Percentile Ranking'!K135/3 + 'Percentile Ranking'!L135/3</f>
        <v>0.6816666667</v>
      </c>
      <c r="F30" s="7">
        <f>'Percentile Ranking'!M135/3 + 'Percentile Ranking'!N135/3 + 'Percentile Ranking'!O135/3</f>
        <v>0.395</v>
      </c>
      <c r="G30" s="7">
        <f t="shared" si="1"/>
        <v>0.6377708333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35</v>
      </c>
      <c r="C31" s="7">
        <f>'Percentile Ranking'!C178/3+'Percentile Ranking'!D178/3+'Percentile Ranking'!E178/3</f>
        <v>0.4506666667</v>
      </c>
      <c r="D31" s="7">
        <f>'Percentile Ranking'!F178*0.25+'Percentile Ranking'!G178*0.25+'Percentile Ranking'!H178*0.25+'Percentile Ranking'!I178*0.25</f>
        <v>0.96375</v>
      </c>
      <c r="E31" s="7">
        <f>'Percentile Ranking'!J178/3 + 'Percentile Ranking'!K178/3 + 'Percentile Ranking'!L178/3</f>
        <v>0.8276666667</v>
      </c>
      <c r="F31" s="7">
        <f>'Percentile Ranking'!M178/3 + 'Percentile Ranking'!N178/3 + 'Percentile Ranking'!O178/3</f>
        <v>0.2963333333</v>
      </c>
      <c r="G31" s="7">
        <f t="shared" si="1"/>
        <v>0.6346041667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36</v>
      </c>
      <c r="C32" s="7">
        <f>'Percentile Ranking'!C130/3+'Percentile Ranking'!D130/3+'Percentile Ranking'!E130/3</f>
        <v>0.99</v>
      </c>
      <c r="D32" s="7">
        <f>'Percentile Ranking'!F130*0.25+'Percentile Ranking'!G130*0.25+'Percentile Ranking'!H130*0.25+'Percentile Ranking'!I130*0.25</f>
        <v>0.45575</v>
      </c>
      <c r="E32" s="7">
        <f>'Percentile Ranking'!J130/3 + 'Percentile Ranking'!K130/3 + 'Percentile Ranking'!L130/3</f>
        <v>0.337</v>
      </c>
      <c r="F32" s="7">
        <f>'Percentile Ranking'!M130/3 + 'Percentile Ranking'!N130/3 + 'Percentile Ranking'!O130/3</f>
        <v>0.7386666667</v>
      </c>
      <c r="G32" s="7">
        <f t="shared" si="1"/>
        <v>0.6303541667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 t="s">
        <v>37</v>
      </c>
      <c r="C33" s="7">
        <f>'Percentile Ranking'!C48/3+'Percentile Ranking'!D48/3+'Percentile Ranking'!E48/3</f>
        <v>0.474</v>
      </c>
      <c r="D33" s="7">
        <f>'Percentile Ranking'!F48*0.25+'Percentile Ranking'!G48*0.25+'Percentile Ranking'!H48*0.25+'Percentile Ranking'!I48*0.25</f>
        <v>0.57425</v>
      </c>
      <c r="E33" s="7">
        <f>'Percentile Ranking'!J48/3 + 'Percentile Ranking'!K48/3 + 'Percentile Ranking'!L48/3</f>
        <v>0.8693333333</v>
      </c>
      <c r="F33" s="7">
        <f>'Percentile Ranking'!M48/3 + 'Percentile Ranking'!N48/3 + 'Percentile Ranking'!O48/3</f>
        <v>0.601</v>
      </c>
      <c r="G33" s="7">
        <f t="shared" si="1"/>
        <v>0.6296458333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 t="s">
        <v>38</v>
      </c>
      <c r="C34" s="7">
        <f>'Percentile Ranking'!C89/3+'Percentile Ranking'!D89/3+'Percentile Ranking'!E89/3</f>
        <v>0.769</v>
      </c>
      <c r="D34" s="7">
        <f>'Percentile Ranking'!F89*0.25+'Percentile Ranking'!G89*0.25+'Percentile Ranking'!H89*0.25+'Percentile Ranking'!I89*0.25</f>
        <v>0.5255</v>
      </c>
      <c r="E34" s="7">
        <f>'Percentile Ranking'!J89/3 + 'Percentile Ranking'!K89/3 + 'Percentile Ranking'!L89/3</f>
        <v>0.7523333333</v>
      </c>
      <c r="F34" s="7">
        <f>'Percentile Ranking'!M89/3 + 'Percentile Ranking'!N89/3 + 'Percentile Ranking'!O89/3</f>
        <v>0.4656666667</v>
      </c>
      <c r="G34" s="7">
        <f t="shared" si="1"/>
        <v>0.628125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6" t="s">
        <v>39</v>
      </c>
      <c r="C35" s="7">
        <f>'Percentile Ranking'!C60/3+'Percentile Ranking'!D60/3+'Percentile Ranking'!E60/3</f>
        <v>0.5976666667</v>
      </c>
      <c r="D35" s="7">
        <f>'Percentile Ranking'!F60*0.25+'Percentile Ranking'!G60*0.25+'Percentile Ranking'!H60*0.25+'Percentile Ranking'!I60*0.25</f>
        <v>0.56675</v>
      </c>
      <c r="E35" s="7">
        <f>'Percentile Ranking'!J60/3 + 'Percentile Ranking'!K60/3 + 'Percentile Ranking'!L60/3</f>
        <v>0.6466666667</v>
      </c>
      <c r="F35" s="7">
        <f>'Percentile Ranking'!M60/3 + 'Percentile Ranking'!N60/3 + 'Percentile Ranking'!O60/3</f>
        <v>0.6716666667</v>
      </c>
      <c r="G35" s="7">
        <f t="shared" si="1"/>
        <v>0.6206875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40</v>
      </c>
      <c r="C36" s="7">
        <f>'Percentile Ranking'!C129/3+'Percentile Ranking'!D129/3+'Percentile Ranking'!E129/3</f>
        <v>0.7503333333</v>
      </c>
      <c r="D36" s="7">
        <f>'Percentile Ranking'!F129*0.25+'Percentile Ranking'!G129*0.25+'Percentile Ranking'!H129*0.25+'Percentile Ranking'!I129*0.25</f>
        <v>0.60175</v>
      </c>
      <c r="E36" s="7">
        <f>'Percentile Ranking'!J129/3 + 'Percentile Ranking'!K129/3 + 'Percentile Ranking'!L129/3</f>
        <v>0.8726666667</v>
      </c>
      <c r="F36" s="7">
        <f>'Percentile Ranking'!M129/3 + 'Percentile Ranking'!N129/3 + 'Percentile Ranking'!O129/3</f>
        <v>0.255</v>
      </c>
      <c r="G36" s="7">
        <f t="shared" si="1"/>
        <v>0.6199375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41</v>
      </c>
      <c r="C37" s="7">
        <f>'Percentile Ranking'!C21/3+'Percentile Ranking'!D21/3+'Percentile Ranking'!E21/3</f>
        <v>0.839</v>
      </c>
      <c r="D37" s="7">
        <f>'Percentile Ranking'!F21*0.25+'Percentile Ranking'!G21*0.25+'Percentile Ranking'!H21*0.25+'Percentile Ranking'!I21*0.25</f>
        <v>0.73375</v>
      </c>
      <c r="E37" s="7">
        <f>'Percentile Ranking'!J21/3 + 'Percentile Ranking'!K21/3 + 'Percentile Ranking'!L21/3</f>
        <v>0.663</v>
      </c>
      <c r="F37" s="7">
        <f>'Percentile Ranking'!M21/3 + 'Percentile Ranking'!N21/3 + 'Percentile Ranking'!O21/3</f>
        <v>0.2376666667</v>
      </c>
      <c r="G37" s="7">
        <f t="shared" si="1"/>
        <v>0.6183541667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" t="s">
        <v>42</v>
      </c>
      <c r="C38" s="7">
        <f>'Percentile Ranking'!C112/3+'Percentile Ranking'!D112/3+'Percentile Ranking'!E112/3</f>
        <v>0.831</v>
      </c>
      <c r="D38" s="7">
        <f>'Percentile Ranking'!F112*0.25+'Percentile Ranking'!G112*0.25+'Percentile Ranking'!H112*0.25+'Percentile Ranking'!I112*0.25</f>
        <v>0.7665</v>
      </c>
      <c r="E38" s="7">
        <f>'Percentile Ranking'!J112/3 + 'Percentile Ranking'!K112/3 + 'Percentile Ranking'!L112/3</f>
        <v>0.442</v>
      </c>
      <c r="F38" s="7">
        <f>'Percentile Ranking'!M112/3 + 'Percentile Ranking'!N112/3 + 'Percentile Ranking'!O112/3</f>
        <v>0.4256666667</v>
      </c>
      <c r="G38" s="7">
        <f t="shared" si="1"/>
        <v>0.6162916667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43</v>
      </c>
      <c r="C39" s="7">
        <f>'Percentile Ranking'!C186/3+'Percentile Ranking'!D186/3+'Percentile Ranking'!E186/3</f>
        <v>0.814</v>
      </c>
      <c r="D39" s="7">
        <f>'Percentile Ranking'!F186*0.25+'Percentile Ranking'!G186*0.25+'Percentile Ranking'!H186*0.25+'Percentile Ranking'!I186*0.25</f>
        <v>0.784</v>
      </c>
      <c r="E39" s="7">
        <f>'Percentile Ranking'!J186/3 + 'Percentile Ranking'!K186/3 + 'Percentile Ranking'!L186/3</f>
        <v>0.4323333333</v>
      </c>
      <c r="F39" s="7">
        <f>'Percentile Ranking'!M186/3 + 'Percentile Ranking'!N186/3 + 'Percentile Ranking'!O186/3</f>
        <v>0.4323333333</v>
      </c>
      <c r="G39" s="7">
        <f t="shared" si="1"/>
        <v>0.6156666667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44</v>
      </c>
      <c r="C40" s="7">
        <f>'Percentile Ranking'!C24/3+'Percentile Ranking'!D24/3+'Percentile Ranking'!E24/3</f>
        <v>0.908</v>
      </c>
      <c r="D40" s="7">
        <f>'Percentile Ranking'!F24*0.25+'Percentile Ranking'!G24*0.25+'Percentile Ranking'!H24*0.25+'Percentile Ranking'!I24*0.25</f>
        <v>0.73125</v>
      </c>
      <c r="E40" s="7">
        <f>'Percentile Ranking'!J24/3 + 'Percentile Ranking'!K24/3 + 'Percentile Ranking'!L24/3</f>
        <v>0.6663333333</v>
      </c>
      <c r="F40" s="7">
        <f>'Percentile Ranking'!M24/3 + 'Percentile Ranking'!N24/3 + 'Percentile Ranking'!O24/3</f>
        <v>0.1556666667</v>
      </c>
      <c r="G40" s="7">
        <f t="shared" si="1"/>
        <v>0.6153125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" t="s">
        <v>45</v>
      </c>
      <c r="C41" s="7">
        <f>'Percentile Ranking'!C7/3+'Percentile Ranking'!D7/3+'Percentile Ranking'!E7/3</f>
        <v>0.454</v>
      </c>
      <c r="D41" s="7">
        <f>'Percentile Ranking'!F7*0.25+'Percentile Ranking'!G7*0.25+'Percentile Ranking'!H7*0.25+'Percentile Ranking'!I7*0.25</f>
        <v>0.534</v>
      </c>
      <c r="E41" s="7">
        <f>'Percentile Ranking'!J7/3 + 'Percentile Ranking'!K7/3 + 'Percentile Ranking'!L7/3</f>
        <v>0.757</v>
      </c>
      <c r="F41" s="7">
        <f>'Percentile Ranking'!M7/3 + 'Percentile Ranking'!N7/3 + 'Percentile Ranking'!O7/3</f>
        <v>0.7083333333</v>
      </c>
      <c r="G41" s="7">
        <f t="shared" si="1"/>
        <v>0.6133333333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46</v>
      </c>
      <c r="C42" s="7">
        <f>'Percentile Ranking'!C126/3+'Percentile Ranking'!D126/3+'Percentile Ranking'!E126/3</f>
        <v>0.469</v>
      </c>
      <c r="D42" s="7">
        <f>'Percentile Ranking'!F126*0.25+'Percentile Ranking'!G126*0.25+'Percentile Ranking'!H126*0.25+'Percentile Ranking'!I126*0.25</f>
        <v>0.67975</v>
      </c>
      <c r="E42" s="7">
        <f>'Percentile Ranking'!J126/3 + 'Percentile Ranking'!K126/3 + 'Percentile Ranking'!L126/3</f>
        <v>0.831</v>
      </c>
      <c r="F42" s="7">
        <f>'Percentile Ranking'!M126/3 + 'Percentile Ranking'!N126/3 + 'Percentile Ranking'!O126/3</f>
        <v>0.4723333333</v>
      </c>
      <c r="G42" s="7">
        <f t="shared" si="1"/>
        <v>0.6130208333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" t="s">
        <v>47</v>
      </c>
      <c r="C43" s="7">
        <f>'Percentile Ranking'!C37/3+'Percentile Ranking'!D37/3+'Percentile Ranking'!E37/3</f>
        <v>0.4286666667</v>
      </c>
      <c r="D43" s="7">
        <f>'Percentile Ranking'!F37*0.25+'Percentile Ranking'!G37*0.25+'Percentile Ranking'!H37*0.25+'Percentile Ranking'!I37*0.25</f>
        <v>0.75375</v>
      </c>
      <c r="E43" s="7">
        <f>'Percentile Ranking'!J37/3 + 'Percentile Ranking'!K37/3 + 'Percentile Ranking'!L37/3</f>
        <v>0.3803333333</v>
      </c>
      <c r="F43" s="7">
        <f>'Percentile Ranking'!M37/3 + 'Percentile Ranking'!N37/3 + 'Percentile Ranking'!O37/3</f>
        <v>0.8663333333</v>
      </c>
      <c r="G43" s="7">
        <f t="shared" si="1"/>
        <v>0.6072708333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" t="s">
        <v>48</v>
      </c>
      <c r="C44" s="7">
        <f>'Percentile Ranking'!C70/3+'Percentile Ranking'!D70/3+'Percentile Ranking'!E70/3</f>
        <v>0.6563333333</v>
      </c>
      <c r="D44" s="7">
        <f>'Percentile Ranking'!F70*0.25+'Percentile Ranking'!G70*0.25+'Percentile Ranking'!H70*0.25+'Percentile Ranking'!I70*0.25</f>
        <v>0.6935</v>
      </c>
      <c r="E44" s="7">
        <f>'Percentile Ranking'!J70/3 + 'Percentile Ranking'!K70/3 + 'Percentile Ranking'!L70/3</f>
        <v>0.695</v>
      </c>
      <c r="F44" s="7">
        <f>'Percentile Ranking'!M70/3 + 'Percentile Ranking'!N70/3 + 'Percentile Ranking'!O70/3</f>
        <v>0.3736666667</v>
      </c>
      <c r="G44" s="7">
        <f t="shared" si="1"/>
        <v>0.604625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" t="s">
        <v>49</v>
      </c>
      <c r="C45" s="7">
        <f>'Percentile Ranking'!C84/3+'Percentile Ranking'!D84/3+'Percentile Ranking'!E84/3</f>
        <v>0.439</v>
      </c>
      <c r="D45" s="7">
        <f>'Percentile Ranking'!F84*0.25+'Percentile Ranking'!G84*0.25+'Percentile Ranking'!H84*0.25+'Percentile Ranking'!I84*0.25</f>
        <v>0.88225</v>
      </c>
      <c r="E45" s="7">
        <f>'Percentile Ranking'!J84/3 + 'Percentile Ranking'!K84/3 + 'Percentile Ranking'!L84/3</f>
        <v>0.573</v>
      </c>
      <c r="F45" s="7">
        <f>'Percentile Ranking'!M84/3 + 'Percentile Ranking'!N84/3 + 'Percentile Ranking'!O84/3</f>
        <v>0.5126666667</v>
      </c>
      <c r="G45" s="7">
        <f t="shared" si="1"/>
        <v>0.6017291667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" t="s">
        <v>50</v>
      </c>
      <c r="C46" s="7">
        <f>'Percentile Ranking'!C13/3+'Percentile Ranking'!D13/3+'Percentile Ranking'!E13/3</f>
        <v>0.8523333333</v>
      </c>
      <c r="D46" s="7">
        <f>'Percentile Ranking'!F13*0.25+'Percentile Ranking'!G13*0.25+'Percentile Ranking'!H13*0.25+'Percentile Ranking'!I13*0.25</f>
        <v>0.68875</v>
      </c>
      <c r="E46" s="7">
        <f>'Percentile Ranking'!J13/3 + 'Percentile Ranking'!K13/3 + 'Percentile Ranking'!L13/3</f>
        <v>0.4236666667</v>
      </c>
      <c r="F46" s="7">
        <f>'Percentile Ranking'!M13/3 + 'Percentile Ranking'!N13/3 + 'Percentile Ranking'!O13/3</f>
        <v>0.4356666667</v>
      </c>
      <c r="G46" s="7">
        <f t="shared" si="1"/>
        <v>0.6001041667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" t="s">
        <v>51</v>
      </c>
      <c r="C47" s="7">
        <f>'Percentile Ranking'!C49/3+'Percentile Ranking'!D49/3+'Percentile Ranking'!E49/3</f>
        <v>0.4153333333</v>
      </c>
      <c r="D47" s="7">
        <f>'Percentile Ranking'!F49*0.25+'Percentile Ranking'!G49*0.25+'Percentile Ranking'!H49*0.25+'Percentile Ranking'!I49*0.25</f>
        <v>0.848</v>
      </c>
      <c r="E47" s="7">
        <f>'Percentile Ranking'!J49/3 + 'Percentile Ranking'!K49/3 + 'Percentile Ranking'!L49/3</f>
        <v>0.97</v>
      </c>
      <c r="F47" s="7">
        <f>'Percentile Ranking'!M49/3 + 'Percentile Ranking'!N49/3 + 'Percentile Ranking'!O49/3</f>
        <v>0.1626666667</v>
      </c>
      <c r="G47" s="7">
        <f t="shared" si="1"/>
        <v>0.599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" t="s">
        <v>52</v>
      </c>
      <c r="C48" s="7">
        <f>'Percentile Ranking'!C51/3+'Percentile Ranking'!D51/3+'Percentile Ranking'!E51/3</f>
        <v>0.521</v>
      </c>
      <c r="D48" s="7">
        <f>'Percentile Ranking'!F51*0.25+'Percentile Ranking'!G51*0.25+'Percentile Ranking'!H51*0.25+'Percentile Ranking'!I51*0.25</f>
        <v>0.80525</v>
      </c>
      <c r="E48" s="7">
        <f>'Percentile Ranking'!J51/3 + 'Percentile Ranking'!K51/3 + 'Percentile Ranking'!L51/3</f>
        <v>0.6666666667</v>
      </c>
      <c r="F48" s="7">
        <f>'Percentile Ranking'!M51/3 + 'Percentile Ranking'!N51/3 + 'Percentile Ranking'!O51/3</f>
        <v>0.4003333333</v>
      </c>
      <c r="G48" s="7">
        <f t="shared" si="1"/>
        <v>0.5983125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6" t="s">
        <v>53</v>
      </c>
      <c r="C49" s="7">
        <f>'Percentile Ranking'!C12/3+'Percentile Ranking'!D12/3+'Percentile Ranking'!E12/3</f>
        <v>0.8793333333</v>
      </c>
      <c r="D49" s="7">
        <f>'Percentile Ranking'!F12*0.25+'Percentile Ranking'!G12*0.25+'Percentile Ranking'!H12*0.25+'Percentile Ranking'!I12*0.25</f>
        <v>0.28525</v>
      </c>
      <c r="E49" s="7">
        <f>'Percentile Ranking'!J12/3 + 'Percentile Ranking'!K12/3 + 'Percentile Ranking'!L12/3</f>
        <v>0.4673333333</v>
      </c>
      <c r="F49" s="7">
        <f>'Percentile Ranking'!M12/3 + 'Percentile Ranking'!N12/3 + 'Percentile Ranking'!O12/3</f>
        <v>0.7553333333</v>
      </c>
      <c r="G49" s="7">
        <f t="shared" si="1"/>
        <v>0.5968125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6" t="s">
        <v>54</v>
      </c>
      <c r="C50" s="7">
        <f>'Percentile Ranking'!C63/3+'Percentile Ranking'!D63/3+'Percentile Ranking'!E63/3</f>
        <v>0.3973333333</v>
      </c>
      <c r="D50" s="7">
        <f>'Percentile Ranking'!F63*0.25+'Percentile Ranking'!G63*0.25+'Percentile Ranking'!H63*0.25+'Percentile Ranking'!I63*0.25</f>
        <v>0.662</v>
      </c>
      <c r="E50" s="7">
        <f>'Percentile Ranking'!J63/3 + 'Percentile Ranking'!K63/3 + 'Percentile Ranking'!L63/3</f>
        <v>0.7806666667</v>
      </c>
      <c r="F50" s="7">
        <f>'Percentile Ranking'!M63/3 + 'Percentile Ranking'!N63/3 + 'Percentile Ranking'!O63/3</f>
        <v>0.5426666667</v>
      </c>
      <c r="G50" s="7">
        <f t="shared" si="1"/>
        <v>0.5956666667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" t="s">
        <v>55</v>
      </c>
      <c r="C51" s="7">
        <f>'Percentile Ranking'!C58/3+'Percentile Ranking'!D58/3+'Percentile Ranking'!E58/3</f>
        <v>0.9163333333</v>
      </c>
      <c r="D51" s="7">
        <f>'Percentile Ranking'!F58*0.25+'Percentile Ranking'!G58*0.25+'Percentile Ranking'!H58*0.25+'Percentile Ranking'!I58*0.25</f>
        <v>0.799</v>
      </c>
      <c r="E51" s="7">
        <f>'Percentile Ranking'!J58/3 + 'Percentile Ranking'!K58/3 + 'Percentile Ranking'!L58/3</f>
        <v>0.4806666667</v>
      </c>
      <c r="F51" s="7">
        <f>'Percentile Ranking'!M58/3 + 'Percentile Ranking'!N58/3 + 'Percentile Ranking'!O58/3</f>
        <v>0.181</v>
      </c>
      <c r="G51" s="7">
        <f t="shared" si="1"/>
        <v>0.59425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" t="s">
        <v>56</v>
      </c>
      <c r="C52" s="7">
        <f>'Percentile Ranking'!C17/3+'Percentile Ranking'!D17/3+'Percentile Ranking'!E17/3</f>
        <v>0.861</v>
      </c>
      <c r="D52" s="7">
        <f>'Percentile Ranking'!F17*0.25+'Percentile Ranking'!G17*0.25+'Percentile Ranking'!H17*0.25+'Percentile Ranking'!I17*0.25</f>
        <v>0.67225</v>
      </c>
      <c r="E52" s="7">
        <f>'Percentile Ranking'!J17/3 + 'Percentile Ranking'!K17/3 + 'Percentile Ranking'!L17/3</f>
        <v>0.4303333333</v>
      </c>
      <c r="F52" s="7">
        <f>'Percentile Ranking'!M17/3 + 'Percentile Ranking'!N17/3 + 'Percentile Ranking'!O17/3</f>
        <v>0.4023333333</v>
      </c>
      <c r="G52" s="7">
        <f t="shared" si="1"/>
        <v>0.5914791667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" t="s">
        <v>57</v>
      </c>
      <c r="C53" s="7">
        <f>'Percentile Ranking'!C141/3+'Percentile Ranking'!D141/3+'Percentile Ranking'!E141/3</f>
        <v>0.3583333333</v>
      </c>
      <c r="D53" s="7">
        <f>'Percentile Ranking'!F141*0.25+'Percentile Ranking'!G141*0.25+'Percentile Ranking'!H141*0.25+'Percentile Ranking'!I141*0.25</f>
        <v>0.53525</v>
      </c>
      <c r="E53" s="7">
        <f>'Percentile Ranking'!J141/3 + 'Percentile Ranking'!K141/3 + 'Percentile Ranking'!L141/3</f>
        <v>0.5763333333</v>
      </c>
      <c r="F53" s="7">
        <f>'Percentile Ranking'!M141/3 + 'Percentile Ranking'!N141/3 + 'Percentile Ranking'!O141/3</f>
        <v>0.8963333333</v>
      </c>
      <c r="G53" s="7">
        <f t="shared" si="1"/>
        <v>0.5915625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" t="s">
        <v>58</v>
      </c>
      <c r="C54" s="7">
        <f>'Percentile Ranking'!C54/3+'Percentile Ranking'!D54/3+'Percentile Ranking'!E54/3</f>
        <v>0.5963333333</v>
      </c>
      <c r="D54" s="7">
        <f>'Percentile Ranking'!F54*0.25+'Percentile Ranking'!G54*0.25+'Percentile Ranking'!H54*0.25+'Percentile Ranking'!I54*0.25</f>
        <v>0.81025</v>
      </c>
      <c r="E54" s="7">
        <f>'Percentile Ranking'!J54/3 + 'Percentile Ranking'!K54/3 + 'Percentile Ranking'!L54/3</f>
        <v>0.4793333333</v>
      </c>
      <c r="F54" s="7">
        <f>'Percentile Ranking'!M54/3 + 'Percentile Ranking'!N54/3 + 'Percentile Ranking'!O54/3</f>
        <v>0.4756666667</v>
      </c>
      <c r="G54" s="7">
        <f t="shared" si="1"/>
        <v>0.5903958333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" t="s">
        <v>59</v>
      </c>
      <c r="C55" s="7">
        <f>'Percentile Ranking'!C83/3+'Percentile Ranking'!D83/3+'Percentile Ranking'!E83/3</f>
        <v>0.4336666667</v>
      </c>
      <c r="D55" s="7">
        <f>'Percentile Ranking'!F83*0.25+'Percentile Ranking'!G83*0.25+'Percentile Ranking'!H83*0.25+'Percentile Ranking'!I83*0.25</f>
        <v>0.8695</v>
      </c>
      <c r="E55" s="7">
        <f>'Percentile Ranking'!J83/3 + 'Percentile Ranking'!K83/3 + 'Percentile Ranking'!L83/3</f>
        <v>0.824</v>
      </c>
      <c r="F55" s="7">
        <f>'Percentile Ranking'!M83/3 + 'Percentile Ranking'!N83/3 + 'Percentile Ranking'!O83/3</f>
        <v>0.2343333333</v>
      </c>
      <c r="G55" s="7">
        <f t="shared" si="1"/>
        <v>0.590375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" t="s">
        <v>60</v>
      </c>
      <c r="C56" s="7">
        <f>'Percentile Ranking'!C42/3+'Percentile Ranking'!D42/3+'Percentile Ranking'!E42/3</f>
        <v>0.2816666667</v>
      </c>
      <c r="D56" s="7">
        <f>'Percentile Ranking'!F42*0.25+'Percentile Ranking'!G42*0.25+'Percentile Ranking'!H42*0.25+'Percentile Ranking'!I42*0.25</f>
        <v>0.6305</v>
      </c>
      <c r="E56" s="7">
        <f>'Percentile Ranking'!J42/3 + 'Percentile Ranking'!K42/3 + 'Percentile Ranking'!L42/3</f>
        <v>0.8726666667</v>
      </c>
      <c r="F56" s="7">
        <f>'Percentile Ranking'!M42/3 + 'Percentile Ranking'!N42/3 + 'Percentile Ranking'!O42/3</f>
        <v>0.5726666667</v>
      </c>
      <c r="G56" s="7">
        <f t="shared" si="1"/>
        <v>0.589375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" t="s">
        <v>61</v>
      </c>
      <c r="C57" s="7">
        <f>'Percentile Ranking'!C191/3+'Percentile Ranking'!D191/3+'Percentile Ranking'!E191/3</f>
        <v>0.7636666667</v>
      </c>
      <c r="D57" s="7">
        <f>'Percentile Ranking'!F191*0.25+'Percentile Ranking'!G191*0.25+'Percentile Ranking'!H191*0.25+'Percentile Ranking'!I191*0.25</f>
        <v>0.73975</v>
      </c>
      <c r="E57" s="7">
        <f>'Percentile Ranking'!J191/3 + 'Percentile Ranking'!K191/3 + 'Percentile Ranking'!L191/3</f>
        <v>0.479</v>
      </c>
      <c r="F57" s="7">
        <f>'Percentile Ranking'!M191/3 + 'Percentile Ranking'!N191/3 + 'Percentile Ranking'!O191/3</f>
        <v>0.3703333333</v>
      </c>
      <c r="G57" s="7">
        <f t="shared" si="1"/>
        <v>0.5881875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6" t="s">
        <v>62</v>
      </c>
      <c r="C58" s="7">
        <f>'Percentile Ranking'!C52/3+'Percentile Ranking'!D52/3+'Percentile Ranking'!E52/3</f>
        <v>0.3666666667</v>
      </c>
      <c r="D58" s="7">
        <f>'Percentile Ranking'!F52*0.25+'Percentile Ranking'!G52*0.25+'Percentile Ranking'!H52*0.25+'Percentile Ranking'!I52*0.25</f>
        <v>0.9775</v>
      </c>
      <c r="E58" s="7">
        <f>'Percentile Ranking'!J52/3 + 'Percentile Ranking'!K52/3 + 'Percentile Ranking'!L52/3</f>
        <v>0.8326666667</v>
      </c>
      <c r="F58" s="7">
        <f>'Percentile Ranking'!M52/3 + 'Percentile Ranking'!N52/3 + 'Percentile Ranking'!O52/3</f>
        <v>0.176</v>
      </c>
      <c r="G58" s="7">
        <f t="shared" si="1"/>
        <v>0.5882083333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6" t="s">
        <v>63</v>
      </c>
      <c r="C59" s="7">
        <f>'Percentile Ranking'!C72/3+'Percentile Ranking'!D72/3+'Percentile Ranking'!E72/3</f>
        <v>0.9513333333</v>
      </c>
      <c r="D59" s="7">
        <f>'Percentile Ranking'!F72*0.25+'Percentile Ranking'!G72*0.25+'Percentile Ranking'!H72*0.25+'Percentile Ranking'!I72*0.25</f>
        <v>0.19725</v>
      </c>
      <c r="E59" s="7">
        <f>'Percentile Ranking'!J72/3 + 'Percentile Ranking'!K72/3 + 'Percentile Ranking'!L72/3</f>
        <v>0.4923333333</v>
      </c>
      <c r="F59" s="7">
        <f>'Percentile Ranking'!M72/3 + 'Percentile Ranking'!N72/3 + 'Percentile Ranking'!O72/3</f>
        <v>0.705</v>
      </c>
      <c r="G59" s="7">
        <f t="shared" si="1"/>
        <v>0.5864791667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6" t="s">
        <v>64</v>
      </c>
      <c r="C60" s="7">
        <f>'Percentile Ranking'!C146/3+'Percentile Ranking'!D146/3+'Percentile Ranking'!E146/3</f>
        <v>0.5696666667</v>
      </c>
      <c r="D60" s="7">
        <f>'Percentile Ranking'!F146*0.25+'Percentile Ranking'!G146*0.25+'Percentile Ranking'!H146*0.25+'Percentile Ranking'!I146*0.25</f>
        <v>0.96</v>
      </c>
      <c r="E60" s="7">
        <f>'Percentile Ranking'!J146/3 + 'Percentile Ranking'!K146/3 + 'Percentile Ranking'!L146/3</f>
        <v>0.613</v>
      </c>
      <c r="F60" s="7">
        <f>'Percentile Ranking'!M146/3 + 'Percentile Ranking'!N146/3 + 'Percentile Ranking'!O146/3</f>
        <v>0.1993333333</v>
      </c>
      <c r="G60" s="7">
        <f t="shared" si="1"/>
        <v>0.5855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6" t="s">
        <v>65</v>
      </c>
      <c r="C61" s="7">
        <f>'Percentile Ranking'!C168/3+'Percentile Ranking'!D168/3+'Percentile Ranking'!E168/3</f>
        <v>0.854</v>
      </c>
      <c r="D61" s="7">
        <f>'Percentile Ranking'!F168*0.25+'Percentile Ranking'!G168*0.25+'Percentile Ranking'!H168*0.25+'Percentile Ranking'!I168*0.25</f>
        <v>0.814</v>
      </c>
      <c r="E61" s="7">
        <f>'Percentile Ranking'!J168/3 + 'Percentile Ranking'!K168/3 + 'Percentile Ranking'!L168/3</f>
        <v>0.5796666667</v>
      </c>
      <c r="F61" s="7">
        <f>'Percentile Ranking'!M168/3 + 'Percentile Ranking'!N168/3 + 'Percentile Ranking'!O168/3</f>
        <v>0.09233333333</v>
      </c>
      <c r="G61" s="7">
        <f t="shared" si="1"/>
        <v>0.585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6" t="s">
        <v>66</v>
      </c>
      <c r="C62" s="7">
        <f>'Percentile Ranking'!C57/3+'Percentile Ranking'!D57/3+'Percentile Ranking'!E57/3</f>
        <v>0.439</v>
      </c>
      <c r="D62" s="7">
        <f>'Percentile Ranking'!F57*0.25+'Percentile Ranking'!G57*0.25+'Percentile Ranking'!H57*0.25+'Percentile Ranking'!I57*0.25</f>
        <v>0.691</v>
      </c>
      <c r="E62" s="7">
        <f>'Percentile Ranking'!J57/3 + 'Percentile Ranking'!K57/3 + 'Percentile Ranking'!L57/3</f>
        <v>0.9213333333</v>
      </c>
      <c r="F62" s="7">
        <f>'Percentile Ranking'!M57/3 + 'Percentile Ranking'!N57/3 + 'Percentile Ranking'!O57/3</f>
        <v>0.2863333333</v>
      </c>
      <c r="G62" s="7">
        <f t="shared" si="1"/>
        <v>0.5844166667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6" t="s">
        <v>67</v>
      </c>
      <c r="C63" s="7">
        <f>'Percentile Ranking'!C123/3+'Percentile Ranking'!D123/3+'Percentile Ranking'!E123/3</f>
        <v>0.67</v>
      </c>
      <c r="D63" s="7">
        <f>'Percentile Ranking'!F123*0.25+'Percentile Ranking'!G123*0.25+'Percentile Ranking'!H123*0.25+'Percentile Ranking'!I123*0.25</f>
        <v>0.525</v>
      </c>
      <c r="E63" s="7">
        <f>'Percentile Ranking'!J123/3 + 'Percentile Ranking'!K123/3 + 'Percentile Ranking'!L123/3</f>
        <v>0.6296666667</v>
      </c>
      <c r="F63" s="7">
        <f>'Percentile Ranking'!M123/3 + 'Percentile Ranking'!N123/3 + 'Percentile Ranking'!O123/3</f>
        <v>0.5043333333</v>
      </c>
      <c r="G63" s="7">
        <f t="shared" si="1"/>
        <v>0.58225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" t="s">
        <v>68</v>
      </c>
      <c r="C64" s="7">
        <f>'Percentile Ranking'!C151/3+'Percentile Ranking'!D151/3+'Percentile Ranking'!E151/3</f>
        <v>0.5176666667</v>
      </c>
      <c r="D64" s="7">
        <f>'Percentile Ranking'!F151*0.25+'Percentile Ranking'!G151*0.25+'Percentile Ranking'!H151*0.25+'Percentile Ranking'!I151*0.25</f>
        <v>0.824</v>
      </c>
      <c r="E64" s="7">
        <f>'Percentile Ranking'!J151/3 + 'Percentile Ranking'!K151/3 + 'Percentile Ranking'!L151/3</f>
        <v>0.8123333333</v>
      </c>
      <c r="F64" s="7">
        <f>'Percentile Ranking'!M151/3 + 'Percentile Ranking'!N151/3 + 'Percentile Ranking'!O151/3</f>
        <v>0.171</v>
      </c>
      <c r="G64" s="7">
        <f t="shared" si="1"/>
        <v>0.58125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6" t="s">
        <v>69</v>
      </c>
      <c r="C65" s="7">
        <f>'Percentile Ranking'!C15/3+'Percentile Ranking'!D15/3+'Percentile Ranking'!E15/3</f>
        <v>0.5326666667</v>
      </c>
      <c r="D65" s="7">
        <f>'Percentile Ranking'!F15*0.25+'Percentile Ranking'!G15*0.25+'Percentile Ranking'!H15*0.25+'Percentile Ranking'!I15*0.25</f>
        <v>0.67325</v>
      </c>
      <c r="E65" s="7">
        <f>'Percentile Ranking'!J15/3 + 'Percentile Ranking'!K15/3 + 'Percentile Ranking'!L15/3</f>
        <v>0.598</v>
      </c>
      <c r="F65" s="7">
        <f>'Percentile Ranking'!M15/3 + 'Percentile Ranking'!N15/3 + 'Percentile Ranking'!O15/3</f>
        <v>0.5156666667</v>
      </c>
      <c r="G65" s="7">
        <f t="shared" si="1"/>
        <v>0.5798958333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" t="s">
        <v>70</v>
      </c>
      <c r="C66" s="7">
        <f>'Percentile Ranking'!C74/3+'Percentile Ranking'!D74/3+'Percentile Ranking'!E74/3</f>
        <v>0.5846666667</v>
      </c>
      <c r="D66" s="7">
        <f>'Percentile Ranking'!F74*0.25+'Percentile Ranking'!G74*0.25+'Percentile Ranking'!H74*0.25+'Percentile Ranking'!I74*0.25</f>
        <v>0.79675</v>
      </c>
      <c r="E66" s="7">
        <f>'Percentile Ranking'!J74/3 + 'Percentile Ranking'!K74/3 + 'Percentile Ranking'!L74/3</f>
        <v>0.7036666667</v>
      </c>
      <c r="F66" s="7">
        <f>'Percentile Ranking'!M74/3 + 'Percentile Ranking'!N74/3 + 'Percentile Ranking'!O74/3</f>
        <v>0.233</v>
      </c>
      <c r="G66" s="7">
        <f t="shared" si="1"/>
        <v>0.5795208333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6" t="s">
        <v>71</v>
      </c>
      <c r="C67" s="7">
        <f>'Percentile Ranking'!C185/3+'Percentile Ranking'!D185/3+'Percentile Ranking'!E185/3</f>
        <v>0.2996666667</v>
      </c>
      <c r="D67" s="7">
        <f>'Percentile Ranking'!F185*0.25+'Percentile Ranking'!G185*0.25+'Percentile Ranking'!H185*0.25+'Percentile Ranking'!I185*0.25</f>
        <v>0.75875</v>
      </c>
      <c r="E67" s="7">
        <f>'Percentile Ranking'!J185/3 + 'Percentile Ranking'!K185/3 + 'Percentile Ranking'!L185/3</f>
        <v>0.7806666667</v>
      </c>
      <c r="F67" s="7">
        <f>'Percentile Ranking'!M185/3 + 'Percentile Ranking'!N185/3 + 'Percentile Ranking'!O185/3</f>
        <v>0.464</v>
      </c>
      <c r="G67" s="7">
        <f t="shared" si="1"/>
        <v>0.5757708333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6" t="s">
        <v>72</v>
      </c>
      <c r="C68" s="7">
        <f>'Percentile Ranking'!C56/3+'Percentile Ranking'!D56/3+'Percentile Ranking'!E56/3</f>
        <v>0.298</v>
      </c>
      <c r="D68" s="7">
        <f>'Percentile Ranking'!F56*0.25+'Percentile Ranking'!G56*0.25+'Percentile Ranking'!H56*0.25+'Percentile Ranking'!I56*0.25</f>
        <v>0.805</v>
      </c>
      <c r="E68" s="7">
        <f>'Percentile Ranking'!J56/3 + 'Percentile Ranking'!K56/3 + 'Percentile Ranking'!L56/3</f>
        <v>0.7153333333</v>
      </c>
      <c r="F68" s="7">
        <f>'Percentile Ranking'!M56/3 + 'Percentile Ranking'!N56/3 + 'Percentile Ranking'!O56/3</f>
        <v>0.4573333333</v>
      </c>
      <c r="G68" s="7">
        <f t="shared" si="1"/>
        <v>0.5689166667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" t="s">
        <v>73</v>
      </c>
      <c r="C69" s="7">
        <f>'Percentile Ranking'!C163/3+'Percentile Ranking'!D163/3+'Percentile Ranking'!E163/3</f>
        <v>0.6786666667</v>
      </c>
      <c r="D69" s="7">
        <f>'Percentile Ranking'!F163*0.25+'Percentile Ranking'!G163*0.25+'Percentile Ranking'!H163*0.25+'Percentile Ranking'!I163*0.25</f>
        <v>0.3945</v>
      </c>
      <c r="E69" s="7">
        <f>'Percentile Ranking'!J163/3 + 'Percentile Ranking'!K163/3 + 'Percentile Ranking'!L163/3</f>
        <v>0.9313333333</v>
      </c>
      <c r="F69" s="7">
        <f>'Percentile Ranking'!M163/3 + 'Percentile Ranking'!N163/3 + 'Percentile Ranking'!O163/3</f>
        <v>0.268</v>
      </c>
      <c r="G69" s="7">
        <f t="shared" si="1"/>
        <v>0.568125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6" t="s">
        <v>74</v>
      </c>
      <c r="C70" s="7">
        <f>'Percentile Ranking'!C148/3+'Percentile Ranking'!D148/3+'Percentile Ranking'!E148/3</f>
        <v>0.3783333333</v>
      </c>
      <c r="D70" s="7">
        <f>'Percentile Ranking'!F148*0.25+'Percentile Ranking'!G148*0.25+'Percentile Ranking'!H148*0.25+'Percentile Ranking'!I148*0.25</f>
        <v>0.17975</v>
      </c>
      <c r="E70" s="7">
        <f>'Percentile Ranking'!J148/3 + 'Percentile Ranking'!K148/3 + 'Percentile Ranking'!L148/3</f>
        <v>0.9383333333</v>
      </c>
      <c r="F70" s="7">
        <f>'Percentile Ranking'!M148/3 + 'Percentile Ranking'!N148/3 + 'Percentile Ranking'!O148/3</f>
        <v>0.764</v>
      </c>
      <c r="G70" s="7">
        <f t="shared" si="1"/>
        <v>0.5651041667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" t="s">
        <v>75</v>
      </c>
      <c r="C71" s="7">
        <f>'Percentile Ranking'!C82/3+'Percentile Ranking'!D82/3+'Percentile Ranking'!E82/3</f>
        <v>0.4256666667</v>
      </c>
      <c r="D71" s="7">
        <f>'Percentile Ranking'!F82*0.25+'Percentile Ranking'!G82*0.25+'Percentile Ranking'!H82*0.25+'Percentile Ranking'!I82*0.25</f>
        <v>0.623</v>
      </c>
      <c r="E71" s="7">
        <f>'Percentile Ranking'!J82/3 + 'Percentile Ranking'!K82/3 + 'Percentile Ranking'!L82/3</f>
        <v>0.3516666667</v>
      </c>
      <c r="F71" s="7">
        <f>'Percentile Ranking'!M82/3 + 'Percentile Ranking'!N82/3 + 'Percentile Ranking'!O82/3</f>
        <v>0.8526666667</v>
      </c>
      <c r="G71" s="7">
        <f t="shared" si="1"/>
        <v>0.56325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" t="s">
        <v>76</v>
      </c>
      <c r="C72" s="7">
        <f>'Percentile Ranking'!C81/3+'Percentile Ranking'!D81/3+'Percentile Ranking'!E81/3</f>
        <v>0.573</v>
      </c>
      <c r="D72" s="7">
        <f>'Percentile Ranking'!F81*0.25+'Percentile Ranking'!G81*0.25+'Percentile Ranking'!H81*0.25+'Percentile Ranking'!I81*0.25</f>
        <v>0.6295</v>
      </c>
      <c r="E72" s="7">
        <f>'Percentile Ranking'!J81/3 + 'Percentile Ranking'!K81/3 + 'Percentile Ranking'!L81/3</f>
        <v>0.6966666667</v>
      </c>
      <c r="F72" s="7">
        <f>'Percentile Ranking'!M81/3 + 'Percentile Ranking'!N81/3 + 'Percentile Ranking'!O81/3</f>
        <v>0.3503333333</v>
      </c>
      <c r="G72" s="7">
        <f t="shared" si="1"/>
        <v>0.562375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" t="s">
        <v>77</v>
      </c>
      <c r="C73" s="7">
        <f>'Percentile Ranking'!C118/3+'Percentile Ranking'!D118/3+'Percentile Ranking'!E118/3</f>
        <v>0.04</v>
      </c>
      <c r="D73" s="7">
        <f>'Percentile Ranking'!F118*0.25+'Percentile Ranking'!G118*0.25+'Percentile Ranking'!H118*0.25+'Percentile Ranking'!I118*0.25</f>
        <v>0.56775</v>
      </c>
      <c r="E73" s="7">
        <f>'Percentile Ranking'!J118/3 + 'Percentile Ranking'!K118/3 + 'Percentile Ranking'!L118/3</f>
        <v>0.9296666667</v>
      </c>
      <c r="F73" s="7">
        <f>'Percentile Ranking'!M118/3 + 'Percentile Ranking'!N118/3 + 'Percentile Ranking'!O118/3</f>
        <v>0.7086666667</v>
      </c>
      <c r="G73" s="7">
        <f t="shared" si="1"/>
        <v>0.5615208333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" t="s">
        <v>78</v>
      </c>
      <c r="C74" s="7">
        <f>'Percentile Ranking'!C87/3+'Percentile Ranking'!D87/3+'Percentile Ranking'!E87/3</f>
        <v>0.04</v>
      </c>
      <c r="D74" s="7">
        <f>'Percentile Ranking'!F87*0.25+'Percentile Ranking'!G87*0.25+'Percentile Ranking'!H87*0.25+'Percentile Ranking'!I87*0.25</f>
        <v>0.89925</v>
      </c>
      <c r="E74" s="7">
        <f>'Percentile Ranking'!J87/3 + 'Percentile Ranking'!K87/3 + 'Percentile Ranking'!L87/3</f>
        <v>0.6903333333</v>
      </c>
      <c r="F74" s="7">
        <f>'Percentile Ranking'!M87/3 + 'Percentile Ranking'!N87/3 + 'Percentile Ranking'!O87/3</f>
        <v>0.615</v>
      </c>
      <c r="G74" s="7">
        <f t="shared" si="1"/>
        <v>0.5611458333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6" t="s">
        <v>79</v>
      </c>
      <c r="C75" s="7">
        <f>'Percentile Ranking'!C204/3+'Percentile Ranking'!D204/3+'Percentile Ranking'!E204/3</f>
        <v>0.4993333333</v>
      </c>
      <c r="D75" s="7">
        <f>'Percentile Ranking'!F204*0.25+'Percentile Ranking'!G204*0.25+'Percentile Ranking'!H204*0.25+'Percentile Ranking'!I204*0.25</f>
        <v>0.573</v>
      </c>
      <c r="E75" s="7">
        <f>'Percentile Ranking'!J204/3 + 'Percentile Ranking'!K204/3 + 'Percentile Ranking'!L204/3</f>
        <v>0.454</v>
      </c>
      <c r="F75" s="7">
        <f>'Percentile Ranking'!M204/3 + 'Percentile Ranking'!N204/3 + 'Percentile Ranking'!O204/3</f>
        <v>0.7066666667</v>
      </c>
      <c r="G75" s="7">
        <f t="shared" si="1"/>
        <v>0.55825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" t="s">
        <v>80</v>
      </c>
      <c r="C76" s="7">
        <f>'Percentile Ranking'!C125/3+'Percentile Ranking'!D125/3+'Percentile Ranking'!E125/3</f>
        <v>0.3333333333</v>
      </c>
      <c r="D76" s="7">
        <f>'Percentile Ranking'!F125*0.25+'Percentile Ranking'!G125*0.25+'Percentile Ranking'!H125*0.25+'Percentile Ranking'!I125*0.25</f>
        <v>0.92225</v>
      </c>
      <c r="E76" s="7">
        <f>'Percentile Ranking'!J125/3 + 'Percentile Ranking'!K125/3 + 'Percentile Ranking'!L125/3</f>
        <v>0.7456666667</v>
      </c>
      <c r="F76" s="7">
        <f>'Percentile Ranking'!M125/3 + 'Percentile Ranking'!N125/3 + 'Percentile Ranking'!O125/3</f>
        <v>0.2293333333</v>
      </c>
      <c r="G76" s="7">
        <f t="shared" si="1"/>
        <v>0.5576458333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" t="s">
        <v>81</v>
      </c>
      <c r="C77" s="7">
        <f>'Percentile Ranking'!C43/3+'Percentile Ranking'!D43/3+'Percentile Ranking'!E43/3</f>
        <v>0.4893333333</v>
      </c>
      <c r="D77" s="7">
        <f>'Percentile Ranking'!F43*0.25+'Percentile Ranking'!G43*0.25+'Percentile Ranking'!H43*0.25+'Percentile Ranking'!I43*0.25</f>
        <v>0.96125</v>
      </c>
      <c r="E77" s="7">
        <f>'Percentile Ranking'!J43/3 + 'Percentile Ranking'!K43/3 + 'Percentile Ranking'!L43/3</f>
        <v>0.6383333333</v>
      </c>
      <c r="F77" s="7">
        <f>'Percentile Ranking'!M43/3 + 'Percentile Ranking'!N43/3 + 'Percentile Ranking'!O43/3</f>
        <v>0.1373333333</v>
      </c>
      <c r="G77" s="7">
        <f t="shared" si="1"/>
        <v>0.5565625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6" t="s">
        <v>82</v>
      </c>
      <c r="C78" s="7">
        <f>'Percentile Ranking'!C55/3+'Percentile Ranking'!D55/3+'Percentile Ranking'!E55/3</f>
        <v>0.4603333333</v>
      </c>
      <c r="D78" s="7">
        <f>'Percentile Ranking'!F55*0.25+'Percentile Ranking'!G55*0.25+'Percentile Ranking'!H55*0.25+'Percentile Ranking'!I55*0.25</f>
        <v>0.79275</v>
      </c>
      <c r="E78" s="7">
        <f>'Percentile Ranking'!J55/3 + 'Percentile Ranking'!K55/3 + 'Percentile Ranking'!L55/3</f>
        <v>0.722</v>
      </c>
      <c r="F78" s="7">
        <f>'Percentile Ranking'!M55/3 + 'Percentile Ranking'!N55/3 + 'Percentile Ranking'!O55/3</f>
        <v>0.2496666667</v>
      </c>
      <c r="G78" s="7">
        <f t="shared" si="1"/>
        <v>0.5561875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6" t="s">
        <v>83</v>
      </c>
      <c r="C79" s="7">
        <f>'Percentile Ranking'!C169/3+'Percentile Ranking'!D169/3+'Percentile Ranking'!E169/3</f>
        <v>0.6533333333</v>
      </c>
      <c r="D79" s="7">
        <f>'Percentile Ranking'!F169*0.25+'Percentile Ranking'!G169*0.25+'Percentile Ranking'!H169*0.25+'Percentile Ranking'!I169*0.25</f>
        <v>0.66825</v>
      </c>
      <c r="E79" s="7">
        <f>'Percentile Ranking'!J169/3 + 'Percentile Ranking'!K169/3 + 'Percentile Ranking'!L169/3</f>
        <v>0.516</v>
      </c>
      <c r="F79" s="7">
        <f>'Percentile Ranking'!M169/3 + 'Percentile Ranking'!N169/3 + 'Percentile Ranking'!O169/3</f>
        <v>0.3753333333</v>
      </c>
      <c r="G79" s="7">
        <f t="shared" si="1"/>
        <v>0.5532291667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" t="s">
        <v>84</v>
      </c>
      <c r="C80" s="7">
        <f>'Percentile Ranking'!C19/3+'Percentile Ranking'!D19/3+'Percentile Ranking'!E19/3</f>
        <v>0.5376666667</v>
      </c>
      <c r="D80" s="7">
        <f>'Percentile Ranking'!F19*0.25+'Percentile Ranking'!G19*0.25+'Percentile Ranking'!H19*0.25+'Percentile Ranking'!I19*0.25</f>
        <v>0.57275</v>
      </c>
      <c r="E80" s="7">
        <f>'Percentile Ranking'!J19/3 + 'Percentile Ranking'!K19/3 + 'Percentile Ranking'!L19/3</f>
        <v>0.4673333333</v>
      </c>
      <c r="F80" s="7">
        <f>'Percentile Ranking'!M19/3 + 'Percentile Ranking'!N19/3 + 'Percentile Ranking'!O19/3</f>
        <v>0.6333333333</v>
      </c>
      <c r="G80" s="7">
        <f t="shared" si="1"/>
        <v>0.5527708333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" t="s">
        <v>85</v>
      </c>
      <c r="C81" s="7">
        <f>'Percentile Ranking'!C167/3+'Percentile Ranking'!D167/3+'Percentile Ranking'!E167/3</f>
        <v>0.4406666667</v>
      </c>
      <c r="D81" s="7">
        <f>'Percentile Ranking'!F167*0.25+'Percentile Ranking'!G167*0.25+'Percentile Ranking'!H167*0.25+'Percentile Ranking'!I167*0.25</f>
        <v>0.682</v>
      </c>
      <c r="E81" s="7">
        <f>'Percentile Ranking'!J167/3 + 'Percentile Ranking'!K167/3 + 'Percentile Ranking'!L167/3</f>
        <v>0.772</v>
      </c>
      <c r="F81" s="7">
        <f>'Percentile Ranking'!M167/3 + 'Percentile Ranking'!N167/3 + 'Percentile Ranking'!O167/3</f>
        <v>0.3096666667</v>
      </c>
      <c r="G81" s="7">
        <f t="shared" si="1"/>
        <v>0.5510833333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" t="s">
        <v>86</v>
      </c>
      <c r="C82" s="7">
        <f>'Percentile Ranking'!C179/3+'Percentile Ranking'!D179/3+'Percentile Ranking'!E179/3</f>
        <v>0.8023333333</v>
      </c>
      <c r="D82" s="7">
        <f>'Percentile Ranking'!F179*0.25+'Percentile Ranking'!G179*0.25+'Percentile Ranking'!H179*0.25+'Percentile Ranking'!I179*0.25</f>
        <v>0.3845</v>
      </c>
      <c r="E82" s="7">
        <f>'Percentile Ranking'!J179/3 + 'Percentile Ranking'!K179/3 + 'Percentile Ranking'!L179/3</f>
        <v>0.71</v>
      </c>
      <c r="F82" s="7">
        <f>'Percentile Ranking'!M179/3 + 'Percentile Ranking'!N179/3 + 'Percentile Ranking'!O179/3</f>
        <v>0.2913333333</v>
      </c>
      <c r="G82" s="7">
        <f t="shared" si="1"/>
        <v>0.5470416667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6" t="s">
        <v>87</v>
      </c>
      <c r="C83" s="7">
        <f>'Percentile Ranking'!C170/3+'Percentile Ranking'!D170/3+'Percentile Ranking'!E170/3</f>
        <v>0.623</v>
      </c>
      <c r="D83" s="7">
        <f>'Percentile Ranking'!F170*0.25+'Percentile Ranking'!G170*0.25+'Percentile Ranking'!H170*0.25+'Percentile Ranking'!I170*0.25</f>
        <v>0.5755</v>
      </c>
      <c r="E83" s="7">
        <f>'Percentile Ranking'!J170/3 + 'Percentile Ranking'!K170/3 + 'Percentile Ranking'!L170/3</f>
        <v>0.4253333333</v>
      </c>
      <c r="F83" s="7">
        <f>'Percentile Ranking'!M170/3 + 'Percentile Ranking'!N170/3 + 'Percentile Ranking'!O170/3</f>
        <v>0.5613333333</v>
      </c>
      <c r="G83" s="7">
        <f t="shared" si="1"/>
        <v>0.5462916667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6" t="s">
        <v>88</v>
      </c>
      <c r="C84" s="7">
        <f>'Percentile Ranking'!C140/3+'Percentile Ranking'!D140/3+'Percentile Ranking'!E140/3</f>
        <v>0.7303333333</v>
      </c>
      <c r="D84" s="7">
        <f>'Percentile Ranking'!F140*0.25+'Percentile Ranking'!G140*0.25+'Percentile Ranking'!H140*0.25+'Percentile Ranking'!I140*0.25</f>
        <v>0.37175</v>
      </c>
      <c r="E84" s="7">
        <f>'Percentile Ranking'!J140/3 + 'Percentile Ranking'!K140/3 + 'Percentile Ranking'!L140/3</f>
        <v>0.5746666667</v>
      </c>
      <c r="F84" s="7">
        <f>'Percentile Ranking'!M140/3 + 'Percentile Ranking'!N140/3 + 'Percentile Ranking'!O140/3</f>
        <v>0.5043333333</v>
      </c>
      <c r="G84" s="7">
        <f t="shared" si="1"/>
        <v>0.5452708333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6" t="s">
        <v>89</v>
      </c>
      <c r="C85" s="7">
        <f>'Percentile Ranking'!C162/3+'Percentile Ranking'!D162/3+'Percentile Ranking'!E162/3</f>
        <v>0.881</v>
      </c>
      <c r="D85" s="7">
        <f>'Percentile Ranking'!F162*0.25+'Percentile Ranking'!G162*0.25+'Percentile Ranking'!H162*0.25+'Percentile Ranking'!I162*0.25</f>
        <v>0.46475</v>
      </c>
      <c r="E85" s="7">
        <f>'Percentile Ranking'!J162/3 + 'Percentile Ranking'!K162/3 + 'Percentile Ranking'!L162/3</f>
        <v>0.1926666667</v>
      </c>
      <c r="F85" s="7">
        <f>'Percentile Ranking'!M162/3 + 'Percentile Ranking'!N162/3 + 'Percentile Ranking'!O162/3</f>
        <v>0.6263333333</v>
      </c>
      <c r="G85" s="7">
        <f t="shared" si="1"/>
        <v>0.5411875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" t="s">
        <v>90</v>
      </c>
      <c r="C86" s="7">
        <f>'Percentile Ranking'!C46/3+'Percentile Ranking'!D46/3+'Percentile Ranking'!E46/3</f>
        <v>0.4603333333</v>
      </c>
      <c r="D86" s="7">
        <f>'Percentile Ranking'!F46*0.25+'Percentile Ranking'!G46*0.25+'Percentile Ranking'!H46*0.25+'Percentile Ranking'!I46*0.25</f>
        <v>0.63675</v>
      </c>
      <c r="E86" s="7">
        <f>'Percentile Ranking'!J46/3 + 'Percentile Ranking'!K46/3 + 'Percentile Ranking'!L46/3</f>
        <v>0.6716666667</v>
      </c>
      <c r="F86" s="7">
        <f>'Percentile Ranking'!M46/3 + 'Percentile Ranking'!N46/3 + 'Percentile Ranking'!O46/3</f>
        <v>0.387</v>
      </c>
      <c r="G86" s="7">
        <f t="shared" si="1"/>
        <v>0.5389375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6" t="s">
        <v>91</v>
      </c>
      <c r="C87" s="7">
        <f>'Percentile Ranking'!C80/3+'Percentile Ranking'!D80/3+'Percentile Ranking'!E80/3</f>
        <v>0.712</v>
      </c>
      <c r="D87" s="7">
        <f>'Percentile Ranking'!F80*0.25+'Percentile Ranking'!G80*0.25+'Percentile Ranking'!H80*0.25+'Percentile Ranking'!I80*0.25</f>
        <v>0.339</v>
      </c>
      <c r="E87" s="7">
        <f>'Percentile Ranking'!J80/3 + 'Percentile Ranking'!K80/3 + 'Percentile Ranking'!L80/3</f>
        <v>0.355</v>
      </c>
      <c r="F87" s="7">
        <f>'Percentile Ranking'!M80/3 + 'Percentile Ranking'!N80/3 + 'Percentile Ranking'!O80/3</f>
        <v>0.7403333333</v>
      </c>
      <c r="G87" s="7">
        <f t="shared" si="1"/>
        <v>0.5365833333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" t="s">
        <v>92</v>
      </c>
      <c r="C88" s="7">
        <f>'Percentile Ranking'!C158/3+'Percentile Ranking'!D158/3+'Percentile Ranking'!E158/3</f>
        <v>0.7836666667</v>
      </c>
      <c r="D88" s="7">
        <f>'Percentile Ranking'!F158*0.25+'Percentile Ranking'!G158*0.25+'Percentile Ranking'!H158*0.25+'Percentile Ranking'!I158*0.25</f>
        <v>0.58425</v>
      </c>
      <c r="E88" s="7">
        <f>'Percentile Ranking'!J158/3 + 'Percentile Ranking'!K158/3 + 'Percentile Ranking'!L158/3</f>
        <v>0.3163333333</v>
      </c>
      <c r="F88" s="7">
        <f>'Percentile Ranking'!M158/3 + 'Percentile Ranking'!N158/3 + 'Percentile Ranking'!O158/3</f>
        <v>0.454</v>
      </c>
      <c r="G88" s="7">
        <f t="shared" si="1"/>
        <v>0.5345625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6" t="s">
        <v>93</v>
      </c>
      <c r="C89" s="7">
        <f>'Percentile Ranking'!C200/3+'Percentile Ranking'!D200/3+'Percentile Ranking'!E200/3</f>
        <v>0.489</v>
      </c>
      <c r="D89" s="7">
        <f>'Percentile Ranking'!F200*0.25+'Percentile Ranking'!G200*0.25+'Percentile Ranking'!H200*0.25+'Percentile Ranking'!I200*0.25</f>
        <v>0.618</v>
      </c>
      <c r="E89" s="7">
        <f>'Percentile Ranking'!J200/3 + 'Percentile Ranking'!K200/3 + 'Percentile Ranking'!L200/3</f>
        <v>0.7203333333</v>
      </c>
      <c r="F89" s="7">
        <f>'Percentile Ranking'!M200/3 + 'Percentile Ranking'!N200/3 + 'Percentile Ranking'!O200/3</f>
        <v>0.3096666667</v>
      </c>
      <c r="G89" s="7">
        <f t="shared" si="1"/>
        <v>0.53425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6" t="s">
        <v>94</v>
      </c>
      <c r="C90" s="7">
        <f>'Percentile Ranking'!C166/3+'Percentile Ranking'!D166/3+'Percentile Ranking'!E166/3</f>
        <v>0.04</v>
      </c>
      <c r="D90" s="7">
        <f>'Percentile Ranking'!F166*0.25+'Percentile Ranking'!G166*0.25+'Percentile Ranking'!H166*0.25+'Percentile Ranking'!I166*0.25</f>
        <v>0.45225</v>
      </c>
      <c r="E90" s="7">
        <f>'Percentile Ranking'!J166/3 + 'Percentile Ranking'!K166/3 + 'Percentile Ranking'!L166/3</f>
        <v>0.7336666667</v>
      </c>
      <c r="F90" s="7">
        <f>'Percentile Ranking'!M166/3 + 'Percentile Ranking'!N166/3 + 'Percentile Ranking'!O166/3</f>
        <v>0.9013333333</v>
      </c>
      <c r="G90" s="7">
        <f t="shared" si="1"/>
        <v>0.5318125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" t="s">
        <v>95</v>
      </c>
      <c r="C91" s="7">
        <f>'Percentile Ranking'!C164/3+'Percentile Ranking'!D164/3+'Percentile Ranking'!E164/3</f>
        <v>0.4906666667</v>
      </c>
      <c r="D91" s="7">
        <f>'Percentile Ranking'!F164*0.25+'Percentile Ranking'!G164*0.25+'Percentile Ranking'!H164*0.25+'Percentile Ranking'!I164*0.25</f>
        <v>0.49975</v>
      </c>
      <c r="E91" s="7">
        <f>'Percentile Ranking'!J164/3 + 'Percentile Ranking'!K164/3 + 'Percentile Ranking'!L164/3</f>
        <v>0.5176666667</v>
      </c>
      <c r="F91" s="7">
        <f>'Percentile Ranking'!M164/3 + 'Percentile Ranking'!N164/3 + 'Percentile Ranking'!O164/3</f>
        <v>0.6163333333</v>
      </c>
      <c r="G91" s="7">
        <f t="shared" si="1"/>
        <v>0.5311041667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" t="s">
        <v>96</v>
      </c>
      <c r="C92" s="7">
        <f>'Percentile Ranking'!C121/3+'Percentile Ranking'!D121/3+'Percentile Ranking'!E121/3</f>
        <v>0.2596666667</v>
      </c>
      <c r="D92" s="7">
        <f>'Percentile Ranking'!F121*0.25+'Percentile Ranking'!G121*0.25+'Percentile Ranking'!H121*0.25+'Percentile Ranking'!I121*0.25</f>
        <v>0.476</v>
      </c>
      <c r="E92" s="7">
        <f>'Percentile Ranking'!J121/3 + 'Percentile Ranking'!K121/3 + 'Percentile Ranking'!L121/3</f>
        <v>0.7036666667</v>
      </c>
      <c r="F92" s="7">
        <f>'Percentile Ranking'!M121/3 + 'Percentile Ranking'!N121/3 + 'Percentile Ranking'!O121/3</f>
        <v>0.6783333333</v>
      </c>
      <c r="G92" s="7">
        <f t="shared" si="1"/>
        <v>0.5294166667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6" t="s">
        <v>97</v>
      </c>
      <c r="C93" s="7">
        <f>'Percentile Ranking'!C93/3+'Percentile Ranking'!D93/3+'Percentile Ranking'!E93/3</f>
        <v>0.335</v>
      </c>
      <c r="D93" s="7">
        <f>'Percentile Ranking'!F93*0.25+'Percentile Ranking'!G93*0.25+'Percentile Ranking'!H93*0.25+'Percentile Ranking'!I93*0.25</f>
        <v>0.58525</v>
      </c>
      <c r="E93" s="7">
        <f>'Percentile Ranking'!J93/3 + 'Percentile Ranking'!K93/3 + 'Percentile Ranking'!L93/3</f>
        <v>0.3233333333</v>
      </c>
      <c r="F93" s="7">
        <f>'Percentile Ranking'!M93/3 + 'Percentile Ranking'!N93/3 + 'Percentile Ranking'!O93/3</f>
        <v>0.868</v>
      </c>
      <c r="G93" s="7">
        <f t="shared" si="1"/>
        <v>0.5278958333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6" t="s">
        <v>98</v>
      </c>
      <c r="C94" s="7">
        <f>'Percentile Ranking'!C133/3+'Percentile Ranking'!D133/3+'Percentile Ranking'!E133/3</f>
        <v>0.7473333333</v>
      </c>
      <c r="D94" s="7">
        <f>'Percentile Ranking'!F133*0.25+'Percentile Ranking'!G133*0.25+'Percentile Ranking'!H133*0.25+'Percentile Ranking'!I133*0.25</f>
        <v>0.47725</v>
      </c>
      <c r="E94" s="7">
        <f>'Percentile Ranking'!J133/3 + 'Percentile Ranking'!K133/3 + 'Percentile Ranking'!L133/3</f>
        <v>0.2026666667</v>
      </c>
      <c r="F94" s="7">
        <f>'Percentile Ranking'!M133/3 + 'Percentile Ranking'!N133/3 + 'Percentile Ranking'!O133/3</f>
        <v>0.682</v>
      </c>
      <c r="G94" s="7">
        <f t="shared" si="1"/>
        <v>0.5273125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6" t="s">
        <v>99</v>
      </c>
      <c r="C95" s="7">
        <f>'Percentile Ranking'!C16/3+'Percentile Ranking'!D16/3+'Percentile Ranking'!E16/3</f>
        <v>0.4743333333</v>
      </c>
      <c r="D95" s="7">
        <f>'Percentile Ranking'!F16*0.25+'Percentile Ranking'!G16*0.25+'Percentile Ranking'!H16*0.25+'Percentile Ranking'!I16*0.25</f>
        <v>0.3505</v>
      </c>
      <c r="E95" s="7">
        <f>'Percentile Ranking'!J16/3 + 'Percentile Ranking'!K16/3 + 'Percentile Ranking'!L16/3</f>
        <v>0.757</v>
      </c>
      <c r="F95" s="7">
        <f>'Percentile Ranking'!M16/3 + 'Percentile Ranking'!N16/3 + 'Percentile Ranking'!O16/3</f>
        <v>0.5226666667</v>
      </c>
      <c r="G95" s="7">
        <f t="shared" si="1"/>
        <v>0.526125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6" t="s">
        <v>100</v>
      </c>
      <c r="C96" s="7">
        <f>'Percentile Ranking'!C6/3+'Percentile Ranking'!D6/3+'Percentile Ranking'!E6/3</f>
        <v>0.5393333333</v>
      </c>
      <c r="D96" s="7">
        <f>'Percentile Ranking'!F6*0.25+'Percentile Ranking'!G6*0.25+'Percentile Ranking'!H6*0.25+'Percentile Ranking'!I6*0.25</f>
        <v>0.642</v>
      </c>
      <c r="E96" s="7">
        <f>'Percentile Ranking'!J6/3 + 'Percentile Ranking'!K6/3 + 'Percentile Ranking'!L6/3</f>
        <v>0.7236666667</v>
      </c>
      <c r="F96" s="7">
        <f>'Percentile Ranking'!M6/3 + 'Percentile Ranking'!N6/3 + 'Percentile Ranking'!O6/3</f>
        <v>0.1926666667</v>
      </c>
      <c r="G96" s="7">
        <f t="shared" si="1"/>
        <v>0.5244166667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6" t="s">
        <v>101</v>
      </c>
      <c r="C97" s="7">
        <f>'Percentile Ranking'!C28/3+'Percentile Ranking'!D28/3+'Percentile Ranking'!E28/3</f>
        <v>0.938</v>
      </c>
      <c r="D97" s="7">
        <f>'Percentile Ranking'!F28*0.25+'Percentile Ranking'!G28*0.25+'Percentile Ranking'!H28*0.25+'Percentile Ranking'!I28*0.25</f>
        <v>0.46225</v>
      </c>
      <c r="E97" s="7">
        <f>'Percentile Ranking'!J28/3 + 'Percentile Ranking'!K28/3 + 'Percentile Ranking'!L28/3</f>
        <v>0.6466666667</v>
      </c>
      <c r="F97" s="7">
        <f>'Percentile Ranking'!M28/3 + 'Percentile Ranking'!N28/3 + 'Percentile Ranking'!O28/3</f>
        <v>0.05</v>
      </c>
      <c r="G97" s="7">
        <f t="shared" si="1"/>
        <v>0.5242291667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6" t="s">
        <v>102</v>
      </c>
      <c r="C98" s="7">
        <f>'Percentile Ranking'!C165/3+'Percentile Ranking'!D165/3+'Percentile Ranking'!E165/3</f>
        <v>0.8306666667</v>
      </c>
      <c r="D98" s="7">
        <f>'Percentile Ranking'!F165*0.25+'Percentile Ranking'!G165*0.25+'Percentile Ranking'!H165*0.25+'Percentile Ranking'!I165*0.25</f>
        <v>0.338</v>
      </c>
      <c r="E98" s="7">
        <f>'Percentile Ranking'!J165/3 + 'Percentile Ranking'!K165/3 + 'Percentile Ranking'!L165/3</f>
        <v>0.1526666667</v>
      </c>
      <c r="F98" s="7">
        <f>'Percentile Ranking'!M165/3 + 'Percentile Ranking'!N165/3 + 'Percentile Ranking'!O165/3</f>
        <v>0.772</v>
      </c>
      <c r="G98" s="7">
        <f t="shared" si="1"/>
        <v>0.5233333333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6" t="s">
        <v>103</v>
      </c>
      <c r="C99" s="7">
        <f>'Percentile Ranking'!C71/3+'Percentile Ranking'!D71/3+'Percentile Ranking'!E71/3</f>
        <v>0.3686666667</v>
      </c>
      <c r="D99" s="7">
        <f>'Percentile Ranking'!F71*0.25+'Percentile Ranking'!G71*0.25+'Percentile Ranking'!H71*0.25+'Percentile Ranking'!I71*0.25</f>
        <v>0.74125</v>
      </c>
      <c r="E99" s="7">
        <f>'Percentile Ranking'!J71/3 + 'Percentile Ranking'!K71/3 + 'Percentile Ranking'!L71/3</f>
        <v>0.6983333333</v>
      </c>
      <c r="F99" s="7">
        <f>'Percentile Ranking'!M71/3 + 'Percentile Ranking'!N71/3 + 'Percentile Ranking'!O71/3</f>
        <v>0.2796666667</v>
      </c>
      <c r="G99" s="7">
        <f t="shared" si="1"/>
        <v>0.5219791667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6" t="s">
        <v>104</v>
      </c>
      <c r="C100" s="7">
        <f>'Percentile Ranking'!C68/3+'Percentile Ranking'!D68/3+'Percentile Ranking'!E68/3</f>
        <v>0.246</v>
      </c>
      <c r="D100" s="7">
        <f>'Percentile Ranking'!F68*0.25+'Percentile Ranking'!G68*0.25+'Percentile Ranking'!H68*0.25+'Percentile Ranking'!I68*0.25</f>
        <v>0.569</v>
      </c>
      <c r="E100" s="7">
        <f>'Percentile Ranking'!J68/3 + 'Percentile Ranking'!K68/3 + 'Percentile Ranking'!L68/3</f>
        <v>0.4943333333</v>
      </c>
      <c r="F100" s="7">
        <f>'Percentile Ranking'!M68/3 + 'Percentile Ranking'!N68/3 + 'Percentile Ranking'!O68/3</f>
        <v>0.767</v>
      </c>
      <c r="G100" s="7">
        <f t="shared" si="1"/>
        <v>0.5190833333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6" t="s">
        <v>105</v>
      </c>
      <c r="C101" s="7">
        <f>'Percentile Ranking'!C192/3+'Percentile Ranking'!D192/3+'Percentile Ranking'!E192/3</f>
        <v>0.5496666667</v>
      </c>
      <c r="D101" s="7">
        <f>'Percentile Ranking'!F192*0.25+'Percentile Ranking'!G192*0.25+'Percentile Ranking'!H192*0.25+'Percentile Ranking'!I192*0.25</f>
        <v>0.43825</v>
      </c>
      <c r="E101" s="7">
        <f>'Percentile Ranking'!J192/3 + 'Percentile Ranking'!K192/3 + 'Percentile Ranking'!L192/3</f>
        <v>0.4336666667</v>
      </c>
      <c r="F101" s="7">
        <f>'Percentile Ranking'!M192/3 + 'Percentile Ranking'!N192/3 + 'Percentile Ranking'!O192/3</f>
        <v>0.655</v>
      </c>
      <c r="G101" s="7">
        <f t="shared" si="1"/>
        <v>0.5191458333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6" t="s">
        <v>106</v>
      </c>
      <c r="C102" s="7">
        <f>'Percentile Ranking'!C202/3+'Percentile Ranking'!D202/3+'Percentile Ranking'!E202/3</f>
        <v>0.2646666667</v>
      </c>
      <c r="D102" s="7">
        <f>'Percentile Ranking'!F202*0.25+'Percentile Ranking'!G202*0.25+'Percentile Ranking'!H202*0.25+'Percentile Ranking'!I202*0.25</f>
        <v>0.70125</v>
      </c>
      <c r="E102" s="7">
        <f>'Percentile Ranking'!J202/3 + 'Percentile Ranking'!K202/3 + 'Percentile Ranking'!L202/3</f>
        <v>0.5863333333</v>
      </c>
      <c r="F102" s="7">
        <f>'Percentile Ranking'!M202/3 + 'Percentile Ranking'!N202/3 + 'Percentile Ranking'!O202/3</f>
        <v>0.5243333333</v>
      </c>
      <c r="G102" s="7">
        <f t="shared" si="1"/>
        <v>0.5191458333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6" t="s">
        <v>107</v>
      </c>
      <c r="C103" s="7">
        <f>'Percentile Ranking'!C115/3+'Percentile Ranking'!D115/3+'Percentile Ranking'!E115/3</f>
        <v>0.9263333333</v>
      </c>
      <c r="D103" s="7">
        <f>'Percentile Ranking'!F115*0.25+'Percentile Ranking'!G115*0.25+'Percentile Ranking'!H115*0.25+'Percentile Ranking'!I115*0.25</f>
        <v>0.17975</v>
      </c>
      <c r="E103" s="7">
        <f>'Percentile Ranking'!J115/3 + 'Percentile Ranking'!K115/3 + 'Percentile Ranking'!L115/3</f>
        <v>0.2226666667</v>
      </c>
      <c r="F103" s="7">
        <f>'Percentile Ranking'!M115/3 + 'Percentile Ranking'!N115/3 + 'Percentile Ranking'!O115/3</f>
        <v>0.7233333333</v>
      </c>
      <c r="G103" s="7">
        <f t="shared" si="1"/>
        <v>0.5130208333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6" t="s">
        <v>108</v>
      </c>
      <c r="C104" s="7">
        <f>'Percentile Ranking'!C22/3+'Percentile Ranking'!D22/3+'Percentile Ranking'!E22/3</f>
        <v>0.9483333333</v>
      </c>
      <c r="D104" s="7">
        <f>'Percentile Ranking'!F22*0.25+'Percentile Ranking'!G22*0.25+'Percentile Ranking'!H22*0.25+'Percentile Ranking'!I22*0.25</f>
        <v>0.33275</v>
      </c>
      <c r="E104" s="7">
        <f>'Percentile Ranking'!J22/3 + 'Percentile Ranking'!K22/3 + 'Percentile Ranking'!L22/3</f>
        <v>0.1206666667</v>
      </c>
      <c r="F104" s="7">
        <f>'Percentile Ranking'!M22/3 + 'Percentile Ranking'!N22/3 + 'Percentile Ranking'!O22/3</f>
        <v>0.6496666667</v>
      </c>
      <c r="G104" s="7">
        <f t="shared" si="1"/>
        <v>0.5128541667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6" t="s">
        <v>109</v>
      </c>
      <c r="C105" s="7">
        <f>'Percentile Ranking'!C27/3+'Percentile Ranking'!D27/3+'Percentile Ranking'!E27/3</f>
        <v>0.94</v>
      </c>
      <c r="D105" s="7">
        <f>'Percentile Ranking'!F27*0.25+'Percentile Ranking'!G27*0.25+'Percentile Ranking'!H27*0.25+'Percentile Ranking'!I27*0.25</f>
        <v>0.3945</v>
      </c>
      <c r="E105" s="7">
        <f>'Percentile Ranking'!J27/3 + 'Percentile Ranking'!K27/3 + 'Percentile Ranking'!L27/3</f>
        <v>0.1876666667</v>
      </c>
      <c r="F105" s="7">
        <f>'Percentile Ranking'!M27/3 + 'Percentile Ranking'!N27/3 + 'Percentile Ranking'!O27/3</f>
        <v>0.5073333333</v>
      </c>
      <c r="G105" s="7">
        <f t="shared" si="1"/>
        <v>0.507375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6" t="s">
        <v>110</v>
      </c>
      <c r="C106" s="7">
        <f>'Percentile Ranking'!C106/3+'Percentile Ranking'!D106/3+'Percentile Ranking'!E106/3</f>
        <v>0.4956666667</v>
      </c>
      <c r="D106" s="7">
        <f>'Percentile Ranking'!F106*0.25+'Percentile Ranking'!G106*0.25+'Percentile Ranking'!H106*0.25+'Percentile Ranking'!I106*0.25</f>
        <v>0.3505</v>
      </c>
      <c r="E106" s="7">
        <f>'Percentile Ranking'!J106/3 + 'Percentile Ranking'!K106/3 + 'Percentile Ranking'!L106/3</f>
        <v>0.332</v>
      </c>
      <c r="F106" s="7">
        <f>'Percentile Ranking'!M106/3 + 'Percentile Ranking'!N106/3 + 'Percentile Ranking'!O106/3</f>
        <v>0.8456666667</v>
      </c>
      <c r="G106" s="7">
        <f t="shared" si="1"/>
        <v>0.5059583333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6" t="s">
        <v>111</v>
      </c>
      <c r="C107" s="7">
        <f>'Percentile Ranking'!C109/3+'Percentile Ranking'!D109/3+'Percentile Ranking'!E109/3</f>
        <v>0.444</v>
      </c>
      <c r="D107" s="7">
        <f>'Percentile Ranking'!F109*0.25+'Percentile Ranking'!G109*0.25+'Percentile Ranking'!H109*0.25+'Percentile Ranking'!I109*0.25</f>
        <v>0.5265</v>
      </c>
      <c r="E107" s="7">
        <f>'Percentile Ranking'!J109/3 + 'Percentile Ranking'!K109/3 + 'Percentile Ranking'!L109/3</f>
        <v>0.2796666667</v>
      </c>
      <c r="F107" s="7">
        <f>'Percentile Ranking'!M109/3 + 'Percentile Ranking'!N109/3 + 'Percentile Ranking'!O109/3</f>
        <v>0.7656666667</v>
      </c>
      <c r="G107" s="7">
        <f t="shared" si="1"/>
        <v>0.5039583333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6" t="s">
        <v>112</v>
      </c>
      <c r="C108" s="7">
        <f>'Percentile Ranking'!C142/3+'Percentile Ranking'!D142/3+'Percentile Ranking'!E142/3</f>
        <v>0.4506666667</v>
      </c>
      <c r="D108" s="7">
        <f>'Percentile Ranking'!F142*0.25+'Percentile Ranking'!G142*0.25+'Percentile Ranking'!H142*0.25+'Percentile Ranking'!I142*0.25</f>
        <v>0.39725</v>
      </c>
      <c r="E108" s="7">
        <f>'Percentile Ranking'!J142/3 + 'Percentile Ranking'!K142/3 + 'Percentile Ranking'!L142/3</f>
        <v>0.3936666667</v>
      </c>
      <c r="F108" s="7">
        <f>'Percentile Ranking'!M142/3 + 'Percentile Ranking'!N142/3 + 'Percentile Ranking'!O142/3</f>
        <v>0.7656666667</v>
      </c>
      <c r="G108" s="7">
        <f t="shared" si="1"/>
        <v>0.5018125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6" t="s">
        <v>113</v>
      </c>
      <c r="C109" s="7">
        <f>'Percentile Ranking'!C196/3+'Percentile Ranking'!D196/3+'Percentile Ranking'!E196/3</f>
        <v>0.9093333333</v>
      </c>
      <c r="D109" s="7">
        <f>'Percentile Ranking'!F196*0.25+'Percentile Ranking'!G196*0.25+'Percentile Ranking'!H196*0.25+'Percentile Ranking'!I196*0.25</f>
        <v>0.56425</v>
      </c>
      <c r="E109" s="7">
        <f>'Percentile Ranking'!J196/3 + 'Percentile Ranking'!K196/3 + 'Percentile Ranking'!L196/3</f>
        <v>0.3503333333</v>
      </c>
      <c r="F109" s="7">
        <f>'Percentile Ranking'!M196/3 + 'Percentile Ranking'!N196/3 + 'Percentile Ranking'!O196/3</f>
        <v>0.1826666667</v>
      </c>
      <c r="G109" s="7">
        <f t="shared" si="1"/>
        <v>0.5016458333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6" t="s">
        <v>114</v>
      </c>
      <c r="C110" s="7">
        <f>'Percentile Ranking'!C189/3+'Percentile Ranking'!D189/3+'Percentile Ranking'!E189/3</f>
        <v>0.9766666667</v>
      </c>
      <c r="D110" s="7">
        <f>'Percentile Ranking'!F189*0.25+'Percentile Ranking'!G189*0.25+'Percentile Ranking'!H189*0.25+'Percentile Ranking'!I189*0.25</f>
        <v>0.622</v>
      </c>
      <c r="E110" s="7">
        <f>'Percentile Ranking'!J189/3 + 'Percentile Ranking'!K189/3 + 'Percentile Ranking'!L189/3</f>
        <v>0.315</v>
      </c>
      <c r="F110" s="7">
        <f>'Percentile Ranking'!M189/3 + 'Percentile Ranking'!N189/3 + 'Percentile Ranking'!O189/3</f>
        <v>0.082</v>
      </c>
      <c r="G110" s="7">
        <f t="shared" si="1"/>
        <v>0.4989166667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6" t="s">
        <v>115</v>
      </c>
      <c r="C111" s="7">
        <f>'Percentile Ranking'!C5/3+'Percentile Ranking'!D5/3+'Percentile Ranking'!E5/3</f>
        <v>0.5006666667</v>
      </c>
      <c r="D111" s="7">
        <f>'Percentile Ranking'!F5*0.25+'Percentile Ranking'!G5*0.25+'Percentile Ranking'!H5*0.25+'Percentile Ranking'!I5*0.25</f>
        <v>0.49775</v>
      </c>
      <c r="E111" s="7">
        <f>'Percentile Ranking'!J5/3 + 'Percentile Ranking'!K5/3 + 'Percentile Ranking'!L5/3</f>
        <v>0.5206666667</v>
      </c>
      <c r="F111" s="7">
        <f>'Percentile Ranking'!M5/3 + 'Percentile Ranking'!N5/3 + 'Percentile Ranking'!O5/3</f>
        <v>0.4673333333</v>
      </c>
      <c r="G111" s="7">
        <f t="shared" si="1"/>
        <v>0.4966041667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6" t="s">
        <v>116</v>
      </c>
      <c r="C112" s="7">
        <f>'Percentile Ranking'!C23/3+'Percentile Ranking'!D23/3+'Percentile Ranking'!E23/3</f>
        <v>0.206</v>
      </c>
      <c r="D112" s="7">
        <f>'Percentile Ranking'!F23*0.25+'Percentile Ranking'!G23*0.25+'Percentile Ranking'!H23*0.25+'Percentile Ranking'!I23*0.25</f>
        <v>0.531</v>
      </c>
      <c r="E112" s="7">
        <f>'Percentile Ranking'!J23/3 + 'Percentile Ranking'!K23/3 + 'Percentile Ranking'!L23/3</f>
        <v>0.544</v>
      </c>
      <c r="F112" s="7">
        <f>'Percentile Ranking'!M23/3 + 'Percentile Ranking'!N23/3 + 'Percentile Ranking'!O23/3</f>
        <v>0.6933333333</v>
      </c>
      <c r="G112" s="7">
        <f t="shared" si="1"/>
        <v>0.4935833333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6" t="s">
        <v>117</v>
      </c>
      <c r="C113" s="7">
        <f>'Percentile Ranking'!C110/3+'Percentile Ranking'!D110/3+'Percentile Ranking'!E110/3</f>
        <v>0.5563333333</v>
      </c>
      <c r="D113" s="7">
        <f>'Percentile Ranking'!F110*0.25+'Percentile Ranking'!G110*0.25+'Percentile Ranking'!H110*0.25+'Percentile Ranking'!I110*0.25</f>
        <v>0.65075</v>
      </c>
      <c r="E113" s="7">
        <f>'Percentile Ranking'!J110/3 + 'Percentile Ranking'!K110/3 + 'Percentile Ranking'!L110/3</f>
        <v>0.2996666667</v>
      </c>
      <c r="F113" s="7">
        <f>'Percentile Ranking'!M110/3 + 'Percentile Ranking'!N110/3 + 'Percentile Ranking'!O110/3</f>
        <v>0.4573333333</v>
      </c>
      <c r="G113" s="7">
        <f t="shared" si="1"/>
        <v>0.4910208333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6" t="s">
        <v>118</v>
      </c>
      <c r="C114" s="7">
        <f>'Percentile Ranking'!C35/3+'Percentile Ranking'!D35/3+'Percentile Ranking'!E35/3</f>
        <v>0.357</v>
      </c>
      <c r="D114" s="7">
        <f>'Percentile Ranking'!F35*0.25+'Percentile Ranking'!G35*0.25+'Percentile Ranking'!H35*0.25+'Percentile Ranking'!I35*0.25</f>
        <v>0.52625</v>
      </c>
      <c r="E114" s="7">
        <f>'Percentile Ranking'!J35/3 + 'Percentile Ranking'!K35/3 + 'Percentile Ranking'!L35/3</f>
        <v>0.4003333333</v>
      </c>
      <c r="F114" s="7">
        <f>'Percentile Ranking'!M35/3 + 'Percentile Ranking'!N35/3 + 'Percentile Ranking'!O35/3</f>
        <v>0.675</v>
      </c>
      <c r="G114" s="7">
        <f t="shared" si="1"/>
        <v>0.4896458333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6" t="s">
        <v>119</v>
      </c>
      <c r="C115" s="7">
        <f>'Percentile Ranking'!C53/3+'Percentile Ranking'!D53/3+'Percentile Ranking'!E53/3</f>
        <v>0.2646666667</v>
      </c>
      <c r="D115" s="7">
        <f>'Percentile Ranking'!F53*0.25+'Percentile Ranking'!G53*0.25+'Percentile Ranking'!H53*0.25+'Percentile Ranking'!I53*0.25</f>
        <v>0.44325</v>
      </c>
      <c r="E115" s="7">
        <f>'Percentile Ranking'!J53/3 + 'Percentile Ranking'!K53/3 + 'Percentile Ranking'!L53/3</f>
        <v>0.7706666667</v>
      </c>
      <c r="F115" s="7">
        <f>'Percentile Ranking'!M53/3 + 'Percentile Ranking'!N53/3 + 'Percentile Ranking'!O53/3</f>
        <v>0.4653333333</v>
      </c>
      <c r="G115" s="7">
        <f t="shared" si="1"/>
        <v>0.4859791667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6" t="s">
        <v>120</v>
      </c>
      <c r="C116" s="7">
        <f>'Percentile Ranking'!C184/3+'Percentile Ranking'!D184/3+'Percentile Ranking'!E184/3</f>
        <v>0.04</v>
      </c>
      <c r="D116" s="7">
        <f>'Percentile Ranking'!F184*0.25+'Percentile Ranking'!G184*0.25+'Percentile Ranking'!H184*0.25+'Percentile Ranking'!I184*0.25</f>
        <v>0.8505</v>
      </c>
      <c r="E116" s="7">
        <f>'Percentile Ranking'!J184/3 + 'Percentile Ranking'!K184/3 + 'Percentile Ranking'!L184/3</f>
        <v>0.7736666667</v>
      </c>
      <c r="F116" s="7">
        <f>'Percentile Ranking'!M184/3 + 'Percentile Ranking'!N184/3 + 'Percentile Ranking'!O184/3</f>
        <v>0.265</v>
      </c>
      <c r="G116" s="7">
        <f t="shared" si="1"/>
        <v>0.4822916667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6" t="s">
        <v>121</v>
      </c>
      <c r="C117" s="7">
        <f>'Percentile Ranking'!C47/3+'Percentile Ranking'!D47/3+'Percentile Ranking'!E47/3</f>
        <v>0.881</v>
      </c>
      <c r="D117" s="7">
        <f>'Percentile Ranking'!F47*0.25+'Percentile Ranking'!G47*0.25+'Percentile Ranking'!H47*0.25+'Percentile Ranking'!I47*0.25</f>
        <v>0.348</v>
      </c>
      <c r="E117" s="7">
        <f>'Percentile Ranking'!J47/3 + 'Percentile Ranking'!K47/3 + 'Percentile Ranking'!L47/3</f>
        <v>0.1323333333</v>
      </c>
      <c r="F117" s="7">
        <f>'Percentile Ranking'!M47/3 + 'Percentile Ranking'!N47/3 + 'Percentile Ranking'!O47/3</f>
        <v>0.5646666667</v>
      </c>
      <c r="G117" s="7">
        <f t="shared" si="1"/>
        <v>0.4815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6" t="s">
        <v>122</v>
      </c>
      <c r="C118" s="7">
        <f>'Percentile Ranking'!C154/3+'Percentile Ranking'!D154/3+'Percentile Ranking'!E154/3</f>
        <v>0.3953333333</v>
      </c>
      <c r="D118" s="7">
        <f>'Percentile Ranking'!F154*0.25+'Percentile Ranking'!G154*0.25+'Percentile Ranking'!H154*0.25+'Percentile Ranking'!I154*0.25</f>
        <v>0.4295</v>
      </c>
      <c r="E118" s="7">
        <f>'Percentile Ranking'!J154/3 + 'Percentile Ranking'!K154/3 + 'Percentile Ranking'!L154/3</f>
        <v>0.2276666667</v>
      </c>
      <c r="F118" s="7">
        <f>'Percentile Ranking'!M154/3 + 'Percentile Ranking'!N154/3 + 'Percentile Ranking'!O154/3</f>
        <v>0.871</v>
      </c>
      <c r="G118" s="7">
        <f t="shared" si="1"/>
        <v>0.480875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6" t="s">
        <v>123</v>
      </c>
      <c r="C119" s="7">
        <f>'Percentile Ranking'!C132/3+'Percentile Ranking'!D132/3+'Percentile Ranking'!E132/3</f>
        <v>0.07866666667</v>
      </c>
      <c r="D119" s="7">
        <f>'Percentile Ranking'!F132*0.25+'Percentile Ranking'!G132*0.25+'Percentile Ranking'!H132*0.25+'Percentile Ranking'!I132*0.25</f>
        <v>0.50625</v>
      </c>
      <c r="E119" s="7">
        <f>'Percentile Ranking'!J132/3 + 'Percentile Ranking'!K132/3 + 'Percentile Ranking'!L132/3</f>
        <v>0.5043333333</v>
      </c>
      <c r="F119" s="7">
        <f>'Percentile Ranking'!M132/3 + 'Percentile Ranking'!N132/3 + 'Percentile Ranking'!O132/3</f>
        <v>0.829</v>
      </c>
      <c r="G119" s="7">
        <f t="shared" si="1"/>
        <v>0.4795625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6" t="s">
        <v>124</v>
      </c>
      <c r="C120" s="7">
        <f>'Percentile Ranking'!C41/3+'Percentile Ranking'!D41/3+'Percentile Ranking'!E41/3</f>
        <v>0.6866666667</v>
      </c>
      <c r="D120" s="7">
        <f>'Percentile Ranking'!F41*0.25+'Percentile Ranking'!G41*0.25+'Percentile Ranking'!H41*0.25+'Percentile Ranking'!I41*0.25</f>
        <v>0.627</v>
      </c>
      <c r="E120" s="7">
        <f>'Percentile Ranking'!J41/3 + 'Percentile Ranking'!K41/3 + 'Percentile Ranking'!L41/3</f>
        <v>0.4303333333</v>
      </c>
      <c r="F120" s="7">
        <f>'Percentile Ranking'!M41/3 + 'Percentile Ranking'!N41/3 + 'Percentile Ranking'!O41/3</f>
        <v>0.1726666667</v>
      </c>
      <c r="G120" s="7">
        <f t="shared" si="1"/>
        <v>0.4791666667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6" t="s">
        <v>125</v>
      </c>
      <c r="C121" s="7">
        <f>'Percentile Ranking'!C9/3+'Percentile Ranking'!D9/3+'Percentile Ranking'!E9/3</f>
        <v>0.8576666667</v>
      </c>
      <c r="D121" s="7">
        <f>'Percentile Ranking'!F9*0.25+'Percentile Ranking'!G9*0.25+'Percentile Ranking'!H9*0.25+'Percentile Ranking'!I9*0.25</f>
        <v>0.46225</v>
      </c>
      <c r="E121" s="7">
        <f>'Percentile Ranking'!J9/3 + 'Percentile Ranking'!K9/3 + 'Percentile Ranking'!L9/3</f>
        <v>0.2713333333</v>
      </c>
      <c r="F121" s="7">
        <f>'Percentile Ranking'!M9/3 + 'Percentile Ranking'!N9/3 + 'Percentile Ranking'!O9/3</f>
        <v>0.323</v>
      </c>
      <c r="G121" s="7">
        <f t="shared" si="1"/>
        <v>0.4785625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6" t="s">
        <v>126</v>
      </c>
      <c r="C122" s="7">
        <f>'Percentile Ranking'!C33/3+'Percentile Ranking'!D33/3+'Percentile Ranking'!E33/3</f>
        <v>0.03</v>
      </c>
      <c r="D122" s="7">
        <f>'Percentile Ranking'!F33*0.25+'Percentile Ranking'!G33*0.25+'Percentile Ranking'!H33*0.25+'Percentile Ranking'!I33*0.25</f>
        <v>0.5765</v>
      </c>
      <c r="E122" s="7">
        <f>'Percentile Ranking'!J33/3 + 'Percentile Ranking'!K33/3 + 'Percentile Ranking'!L33/3</f>
        <v>0.891</v>
      </c>
      <c r="F122" s="7">
        <f>'Percentile Ranking'!M33/3 + 'Percentile Ranking'!N33/3 + 'Percentile Ranking'!O33/3</f>
        <v>0.414</v>
      </c>
      <c r="G122" s="7">
        <f t="shared" si="1"/>
        <v>0.477875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6" t="s">
        <v>127</v>
      </c>
      <c r="C123" s="7">
        <f>'Percentile Ranking'!C50/3+'Percentile Ranking'!D50/3+'Percentile Ranking'!E50/3</f>
        <v>0.4823333333</v>
      </c>
      <c r="D123" s="7">
        <f>'Percentile Ranking'!F50*0.25+'Percentile Ranking'!G50*0.25+'Percentile Ranking'!H50*0.25+'Percentile Ranking'!I50*0.25</f>
        <v>0.52525</v>
      </c>
      <c r="E123" s="7">
        <f>'Percentile Ranking'!J50/3 + 'Percentile Ranking'!K50/3 + 'Percentile Ranking'!L50/3</f>
        <v>0.623</v>
      </c>
      <c r="F123" s="7">
        <f>'Percentile Ranking'!M50/3 + 'Percentile Ranking'!N50/3 + 'Percentile Ranking'!O50/3</f>
        <v>0.278</v>
      </c>
      <c r="G123" s="7">
        <f t="shared" si="1"/>
        <v>0.4771458333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6" t="s">
        <v>128</v>
      </c>
      <c r="C124" s="7">
        <f>'Percentile Ranking'!C29/3+'Percentile Ranking'!D29/3+'Percentile Ranking'!E29/3</f>
        <v>0.1976666667</v>
      </c>
      <c r="D124" s="7">
        <f>'Percentile Ranking'!F29*0.25+'Percentile Ranking'!G29*0.25+'Percentile Ranking'!H29*0.25+'Percentile Ranking'!I29*0.25</f>
        <v>0.329</v>
      </c>
      <c r="E124" s="7">
        <f>'Percentile Ranking'!J29/3 + 'Percentile Ranking'!K29/3 + 'Percentile Ranking'!L29/3</f>
        <v>0.8776666667</v>
      </c>
      <c r="F124" s="7">
        <f>'Percentile Ranking'!M29/3 + 'Percentile Ranking'!N29/3 + 'Percentile Ranking'!O29/3</f>
        <v>0.4403333333</v>
      </c>
      <c r="G124" s="7">
        <f t="shared" si="1"/>
        <v>0.4611666667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6" t="s">
        <v>129</v>
      </c>
      <c r="C125" s="7">
        <f>'Percentile Ranking'!C92/3+'Percentile Ranking'!D92/3+'Percentile Ranking'!E92/3</f>
        <v>0.7203333333</v>
      </c>
      <c r="D125" s="7">
        <f>'Percentile Ranking'!F92*0.25+'Percentile Ranking'!G92*0.25+'Percentile Ranking'!H92*0.25+'Percentile Ranking'!I92*0.25</f>
        <v>0.289</v>
      </c>
      <c r="E125" s="7">
        <f>'Percentile Ranking'!J92/3 + 'Percentile Ranking'!K92/3 + 'Percentile Ranking'!L92/3</f>
        <v>0.5796666667</v>
      </c>
      <c r="F125" s="7">
        <f>'Percentile Ranking'!M92/3 + 'Percentile Ranking'!N92/3 + 'Percentile Ranking'!O92/3</f>
        <v>0.2443333333</v>
      </c>
      <c r="G125" s="7">
        <f t="shared" si="1"/>
        <v>0.4583333333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6" t="s">
        <v>130</v>
      </c>
      <c r="C126" s="7">
        <f>'Percentile Ranking'!C111/3+'Percentile Ranking'!D111/3+'Percentile Ranking'!E111/3</f>
        <v>0.814</v>
      </c>
      <c r="D126" s="7">
        <f>'Percentile Ranking'!F111*0.25+'Percentile Ranking'!G111*0.25+'Percentile Ranking'!H111*0.25+'Percentile Ranking'!I111*0.25</f>
        <v>0.46975</v>
      </c>
      <c r="E126" s="7">
        <f>'Percentile Ranking'!J111/3 + 'Percentile Ranking'!K111/3 + 'Percentile Ranking'!L111/3</f>
        <v>0.2526666667</v>
      </c>
      <c r="F126" s="7">
        <f>'Percentile Ranking'!M111/3 + 'Percentile Ranking'!N111/3 + 'Percentile Ranking'!O111/3</f>
        <v>0.283</v>
      </c>
      <c r="G126" s="7">
        <f t="shared" si="1"/>
        <v>0.4548541667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6" t="s">
        <v>131</v>
      </c>
      <c r="C127" s="7">
        <f>'Percentile Ranking'!C147/3+'Percentile Ranking'!D147/3+'Percentile Ranking'!E147/3</f>
        <v>0.3936666667</v>
      </c>
      <c r="D127" s="7">
        <f>'Percentile Ranking'!F147*0.25+'Percentile Ranking'!G147*0.25+'Percentile Ranking'!H147*0.25+'Percentile Ranking'!I147*0.25</f>
        <v>0.60175</v>
      </c>
      <c r="E127" s="7">
        <f>'Percentile Ranking'!J147/3 + 'Percentile Ranking'!K147/3 + 'Percentile Ranking'!L147/3</f>
        <v>0.3586666667</v>
      </c>
      <c r="F127" s="7">
        <f>'Percentile Ranking'!M147/3 + 'Percentile Ranking'!N147/3 + 'Percentile Ranking'!O147/3</f>
        <v>0.4656666667</v>
      </c>
      <c r="G127" s="7">
        <f t="shared" si="1"/>
        <v>0.4549375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6" t="s">
        <v>132</v>
      </c>
      <c r="C128" s="7">
        <f>'Percentile Ranking'!C103/3+'Percentile Ranking'!D103/3+'Percentile Ranking'!E103/3</f>
        <v>0.653</v>
      </c>
      <c r="D128" s="7">
        <f>'Percentile Ranking'!F103*0.25+'Percentile Ranking'!G103*0.25+'Percentile Ranking'!H103*0.25+'Percentile Ranking'!I103*0.25</f>
        <v>0.32925</v>
      </c>
      <c r="E128" s="7">
        <f>'Percentile Ranking'!J103/3 + 'Percentile Ranking'!K103/3 + 'Percentile Ranking'!L103/3</f>
        <v>0.1876666667</v>
      </c>
      <c r="F128" s="7">
        <f>'Percentile Ranking'!M103/3 + 'Percentile Ranking'!N103/3 + 'Percentile Ranking'!O103/3</f>
        <v>0.6383333333</v>
      </c>
      <c r="G128" s="7">
        <f t="shared" si="1"/>
        <v>0.4520625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6" t="s">
        <v>133</v>
      </c>
      <c r="C129" s="7">
        <f>'Percentile Ranking'!C188/3+'Percentile Ranking'!D188/3+'Percentile Ranking'!E188/3</f>
        <v>0.3886666667</v>
      </c>
      <c r="D129" s="7">
        <f>'Percentile Ranking'!F188*0.25+'Percentile Ranking'!G188*0.25+'Percentile Ranking'!H188*0.25+'Percentile Ranking'!I188*0.25</f>
        <v>0.47475</v>
      </c>
      <c r="E129" s="7">
        <f>'Percentile Ranking'!J188/3 + 'Percentile Ranking'!K188/3 + 'Percentile Ranking'!L188/3</f>
        <v>0.3046666667</v>
      </c>
      <c r="F129" s="7">
        <f>'Percentile Ranking'!M188/3 + 'Percentile Ranking'!N188/3 + 'Percentile Ranking'!O188/3</f>
        <v>0.6333333333</v>
      </c>
      <c r="G129" s="7">
        <f t="shared" si="1"/>
        <v>0.4503541667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6" t="s">
        <v>134</v>
      </c>
      <c r="C130" s="7">
        <f>'Percentile Ranking'!C14/3+'Percentile Ranking'!D14/3+'Percentile Ranking'!E14/3</f>
        <v>0.68</v>
      </c>
      <c r="D130" s="7">
        <f>'Percentile Ranking'!F14*0.25+'Percentile Ranking'!G14*0.25+'Percentile Ranking'!H14*0.25+'Percentile Ranking'!I14*0.25</f>
        <v>0.12825</v>
      </c>
      <c r="E130" s="7">
        <f>'Percentile Ranking'!J14/3 + 'Percentile Ranking'!K14/3 + 'Percentile Ranking'!L14/3</f>
        <v>0.432</v>
      </c>
      <c r="F130" s="7">
        <f>'Percentile Ranking'!M14/3 + 'Percentile Ranking'!N14/3 + 'Percentile Ranking'!O14/3</f>
        <v>0.5576666667</v>
      </c>
      <c r="G130" s="7">
        <f t="shared" si="1"/>
        <v>0.4494791667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6" t="s">
        <v>135</v>
      </c>
      <c r="C131" s="7">
        <f>'Percentile Ranking'!C91/3+'Percentile Ranking'!D91/3+'Percentile Ranking'!E91/3</f>
        <v>0.821</v>
      </c>
      <c r="D131" s="7">
        <f>'Percentile Ranking'!F91*0.25+'Percentile Ranking'!G91*0.25+'Percentile Ranking'!H91*0.25+'Percentile Ranking'!I91*0.25</f>
        <v>0.13325</v>
      </c>
      <c r="E131" s="7">
        <f>'Percentile Ranking'!J91/3 + 'Percentile Ranking'!K91/3 + 'Percentile Ranking'!L91/3</f>
        <v>0.055</v>
      </c>
      <c r="F131" s="7">
        <f>'Percentile Ranking'!M91/3 + 'Percentile Ranking'!N91/3 + 'Percentile Ranking'!O91/3</f>
        <v>0.769</v>
      </c>
      <c r="G131" s="7">
        <f t="shared" si="1"/>
        <v>0.4445625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6" t="s">
        <v>136</v>
      </c>
      <c r="C132" s="7">
        <f>'Percentile Ranking'!C66/3+'Percentile Ranking'!D66/3+'Percentile Ranking'!E66/3</f>
        <v>0.04</v>
      </c>
      <c r="D132" s="7">
        <f>'Percentile Ranking'!F66*0.25+'Percentile Ranking'!G66*0.25+'Percentile Ranking'!H66*0.25+'Percentile Ranking'!I66*0.25</f>
        <v>0.36575</v>
      </c>
      <c r="E132" s="7">
        <f>'Percentile Ranking'!J66/3 + 'Percentile Ranking'!K66/3 + 'Percentile Ranking'!L66/3</f>
        <v>0.6986666667</v>
      </c>
      <c r="F132" s="7">
        <f>'Percentile Ranking'!M66/3 + 'Percentile Ranking'!N66/3 + 'Percentile Ranking'!O66/3</f>
        <v>0.6666666667</v>
      </c>
      <c r="G132" s="7">
        <f t="shared" si="1"/>
        <v>0.4427708333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6" t="s">
        <v>137</v>
      </c>
      <c r="C133" s="7">
        <f>'Percentile Ranking'!C177/3+'Percentile Ranking'!D177/3+'Percentile Ranking'!E177/3</f>
        <v>0.3266666667</v>
      </c>
      <c r="D133" s="7">
        <f>'Percentile Ranking'!F177*0.25+'Percentile Ranking'!G177*0.25+'Percentile Ranking'!H177*0.25+'Percentile Ranking'!I177*0.25</f>
        <v>0.373</v>
      </c>
      <c r="E133" s="7">
        <f>'Percentile Ranking'!J177/3 + 'Percentile Ranking'!K177/3 + 'Percentile Ranking'!L177/3</f>
        <v>0.5413333333</v>
      </c>
      <c r="F133" s="7">
        <f>'Percentile Ranking'!M177/3 + 'Percentile Ranking'!N177/3 + 'Percentile Ranking'!O177/3</f>
        <v>0.5293333333</v>
      </c>
      <c r="G133" s="7">
        <f t="shared" si="1"/>
        <v>0.4425833333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6" t="s">
        <v>138</v>
      </c>
      <c r="C134" s="7">
        <f>'Percentile Ranking'!C77/3+'Percentile Ranking'!D77/3+'Percentile Ranking'!E77/3</f>
        <v>0.8206666667</v>
      </c>
      <c r="D134" s="7">
        <f>'Percentile Ranking'!F77*0.25+'Percentile Ranking'!G77*0.25+'Percentile Ranking'!H77*0.25+'Percentile Ranking'!I77*0.25</f>
        <v>0.26125</v>
      </c>
      <c r="E134" s="7">
        <f>'Percentile Ranking'!J77/3 + 'Percentile Ranking'!K77/3 + 'Percentile Ranking'!L77/3</f>
        <v>0.1153333333</v>
      </c>
      <c r="F134" s="7">
        <f>'Percentile Ranking'!M77/3 + 'Percentile Ranking'!N77/3 + 'Percentile Ranking'!O77/3</f>
        <v>0.5676666667</v>
      </c>
      <c r="G134" s="7">
        <f t="shared" si="1"/>
        <v>0.4412291667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6" t="s">
        <v>139</v>
      </c>
      <c r="C135" s="7">
        <f>'Percentile Ranking'!C86/3+'Percentile Ranking'!D86/3+'Percentile Ranking'!E86/3</f>
        <v>0.6463333333</v>
      </c>
      <c r="D135" s="7">
        <f>'Percentile Ranking'!F86*0.25+'Percentile Ranking'!G86*0.25+'Percentile Ranking'!H86*0.25+'Percentile Ranking'!I86*0.25</f>
        <v>0.24475</v>
      </c>
      <c r="E135" s="7">
        <f>'Percentile Ranking'!J86/3 + 'Percentile Ranking'!K86/3 + 'Percentile Ranking'!L86/3</f>
        <v>0.1526666667</v>
      </c>
      <c r="F135" s="7">
        <f>'Percentile Ranking'!M86/3 + 'Percentile Ranking'!N86/3 + 'Percentile Ranking'!O86/3</f>
        <v>0.7186666667</v>
      </c>
      <c r="G135" s="7">
        <f t="shared" si="1"/>
        <v>0.4406041667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6" t="s">
        <v>140</v>
      </c>
      <c r="C136" s="7">
        <f>'Percentile Ranking'!C139/3+'Percentile Ranking'!D139/3+'Percentile Ranking'!E139/3</f>
        <v>0.4723333333</v>
      </c>
      <c r="D136" s="7">
        <f>'Percentile Ranking'!F139*0.25+'Percentile Ranking'!G139*0.25+'Percentile Ranking'!H139*0.25+'Percentile Ranking'!I139*0.25</f>
        <v>0.35075</v>
      </c>
      <c r="E136" s="7">
        <f>'Percentile Ranking'!J139/3 + 'Percentile Ranking'!K139/3 + 'Percentile Ranking'!L139/3</f>
        <v>0.2563333333</v>
      </c>
      <c r="F136" s="7">
        <f>'Percentile Ranking'!M139/3 + 'Percentile Ranking'!N139/3 + 'Percentile Ranking'!O139/3</f>
        <v>0.6733333333</v>
      </c>
      <c r="G136" s="7">
        <f t="shared" si="1"/>
        <v>0.4381875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6" t="s">
        <v>141</v>
      </c>
      <c r="C137" s="7">
        <f>'Percentile Ranking'!C143/3+'Percentile Ranking'!D143/3+'Percentile Ranking'!E143/3</f>
        <v>0.3416666667</v>
      </c>
      <c r="D137" s="7">
        <f>'Percentile Ranking'!F143*0.25+'Percentile Ranking'!G143*0.25+'Percentile Ranking'!H143*0.25+'Percentile Ranking'!I143*0.25</f>
        <v>0.0905</v>
      </c>
      <c r="E137" s="7">
        <f>'Percentile Ranking'!J143/3 + 'Percentile Ranking'!K143/3 + 'Percentile Ranking'!L143/3</f>
        <v>0.578</v>
      </c>
      <c r="F137" s="7">
        <f>'Percentile Ranking'!M143/3 + 'Percentile Ranking'!N143/3 + 'Percentile Ranking'!O143/3</f>
        <v>0.7403333333</v>
      </c>
      <c r="G137" s="7">
        <f t="shared" si="1"/>
        <v>0.437625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6" t="s">
        <v>142</v>
      </c>
      <c r="C138" s="7">
        <f>'Percentile Ranking'!C159/3+'Percentile Ranking'!D159/3+'Percentile Ranking'!E159/3</f>
        <v>0.4873333333</v>
      </c>
      <c r="D138" s="7">
        <f>'Percentile Ranking'!F159*0.25+'Percentile Ranking'!G159*0.25+'Percentile Ranking'!H159*0.25+'Percentile Ranking'!I159*0.25</f>
        <v>0.34825</v>
      </c>
      <c r="E138" s="7">
        <f>'Percentile Ranking'!J159/3 + 'Percentile Ranking'!K159/3 + 'Percentile Ranking'!L159/3</f>
        <v>0.134</v>
      </c>
      <c r="F138" s="7">
        <f>'Percentile Ranking'!M159/3 + 'Percentile Ranking'!N159/3 + 'Percentile Ranking'!O159/3</f>
        <v>0.779</v>
      </c>
      <c r="G138" s="7">
        <f t="shared" si="1"/>
        <v>0.4371458333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6" t="s">
        <v>143</v>
      </c>
      <c r="C139" s="7">
        <f>'Percentile Ranking'!C104/3+'Percentile Ranking'!D104/3+'Percentile Ranking'!E104/3</f>
        <v>0.04</v>
      </c>
      <c r="D139" s="7">
        <f>'Percentile Ranking'!F104*0.25+'Percentile Ranking'!G104*0.25+'Percentile Ranking'!H104*0.25+'Percentile Ranking'!I104*0.25</f>
        <v>0.35675</v>
      </c>
      <c r="E139" s="7">
        <f>'Percentile Ranking'!J104/3 + 'Percentile Ranking'!K104/3 + 'Percentile Ranking'!L104/3</f>
        <v>0.7353333333</v>
      </c>
      <c r="F139" s="7">
        <f>'Percentile Ranking'!M104/3 + 'Percentile Ranking'!N104/3 + 'Percentile Ranking'!O104/3</f>
        <v>0.6113333333</v>
      </c>
      <c r="G139" s="7">
        <f t="shared" si="1"/>
        <v>0.4358541667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6" t="s">
        <v>144</v>
      </c>
      <c r="C140" s="7">
        <f>'Percentile Ranking'!C102/3+'Percentile Ranking'!D102/3+'Percentile Ranking'!E102/3</f>
        <v>0.797</v>
      </c>
      <c r="D140" s="7">
        <f>'Percentile Ranking'!F102*0.25+'Percentile Ranking'!G102*0.25+'Percentile Ranking'!H102*0.25+'Percentile Ranking'!I102*0.25</f>
        <v>0.29775</v>
      </c>
      <c r="E140" s="7">
        <f>'Percentile Ranking'!J102/3 + 'Percentile Ranking'!K102/3 + 'Percentile Ranking'!L102/3</f>
        <v>0.07366666667</v>
      </c>
      <c r="F140" s="7">
        <f>'Percentile Ranking'!M102/3 + 'Percentile Ranking'!N102/3 + 'Percentile Ranking'!O102/3</f>
        <v>0.571</v>
      </c>
      <c r="G140" s="7">
        <f t="shared" si="1"/>
        <v>0.4348541667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6" t="s">
        <v>145</v>
      </c>
      <c r="C141" s="7">
        <f>'Percentile Ranking'!C197/3+'Percentile Ranking'!D197/3+'Percentile Ranking'!E197/3</f>
        <v>0.164</v>
      </c>
      <c r="D141" s="7">
        <f>'Percentile Ranking'!F197*0.25+'Percentile Ranking'!G197*0.25+'Percentile Ranking'!H197*0.25+'Percentile Ranking'!I197*0.25</f>
        <v>0.505</v>
      </c>
      <c r="E141" s="7">
        <f>'Percentile Ranking'!J197/3 + 'Percentile Ranking'!K197/3 + 'Percentile Ranking'!L197/3</f>
        <v>0.295</v>
      </c>
      <c r="F141" s="7">
        <f>'Percentile Ranking'!M197/3 + 'Percentile Ranking'!N197/3 + 'Percentile Ranking'!O197/3</f>
        <v>0.7623333333</v>
      </c>
      <c r="G141" s="7">
        <f t="shared" si="1"/>
        <v>0.4315833333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6" t="s">
        <v>146</v>
      </c>
      <c r="C142" s="7">
        <f>'Percentile Ranking'!C161/3+'Percentile Ranking'!D161/3+'Percentile Ranking'!E161/3</f>
        <v>0.32</v>
      </c>
      <c r="D142" s="7">
        <f>'Percentile Ranking'!F161*0.25+'Percentile Ranking'!G161*0.25+'Percentile Ranking'!H161*0.25+'Percentile Ranking'!I161*0.25</f>
        <v>0.481</v>
      </c>
      <c r="E142" s="7">
        <f>'Percentile Ranking'!J161/3 + 'Percentile Ranking'!K161/3 + 'Percentile Ranking'!L161/3</f>
        <v>0.4686666667</v>
      </c>
      <c r="F142" s="7">
        <f>'Percentile Ranking'!M161/3 + 'Percentile Ranking'!N161/3 + 'Percentile Ranking'!O161/3</f>
        <v>0.4556666667</v>
      </c>
      <c r="G142" s="7">
        <f t="shared" si="1"/>
        <v>0.4313333333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6" t="s">
        <v>147</v>
      </c>
      <c r="C143" s="7">
        <f>'Percentile Ranking'!C160/3+'Percentile Ranking'!D160/3+'Percentile Ranking'!E160/3</f>
        <v>0.34</v>
      </c>
      <c r="D143" s="7">
        <f>'Percentile Ranking'!F160*0.25+'Percentile Ranking'!G160*0.25+'Percentile Ranking'!H160*0.25+'Percentile Ranking'!I160*0.25</f>
        <v>0.34175</v>
      </c>
      <c r="E143" s="7">
        <f>'Percentile Ranking'!J160/3 + 'Percentile Ranking'!K160/3 + 'Percentile Ranking'!L160/3</f>
        <v>0.3583333333</v>
      </c>
      <c r="F143" s="7">
        <f>'Percentile Ranking'!M160/3 + 'Percentile Ranking'!N160/3 + 'Percentile Ranking'!O160/3</f>
        <v>0.6783333333</v>
      </c>
      <c r="G143" s="7">
        <f t="shared" si="1"/>
        <v>0.4296041667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6" t="s">
        <v>148</v>
      </c>
      <c r="C144" s="7">
        <f>'Percentile Ranking'!C99/3+'Percentile Ranking'!D99/3+'Percentile Ranking'!E99/3</f>
        <v>0.588</v>
      </c>
      <c r="D144" s="7">
        <f>'Percentile Ranking'!F99*0.25+'Percentile Ranking'!G99*0.25+'Percentile Ranking'!H99*0.25+'Percentile Ranking'!I99*0.25</f>
        <v>0.20975</v>
      </c>
      <c r="E144" s="7">
        <f>'Percentile Ranking'!J99/3 + 'Percentile Ranking'!K99/3 + 'Percentile Ranking'!L99/3</f>
        <v>0.08866666667</v>
      </c>
      <c r="F144" s="7">
        <f>'Percentile Ranking'!M99/3 + 'Percentile Ranking'!N99/3 + 'Percentile Ranking'!O99/3</f>
        <v>0.8276666667</v>
      </c>
      <c r="G144" s="7">
        <f t="shared" si="1"/>
        <v>0.4285208333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6" t="s">
        <v>149</v>
      </c>
      <c r="C145" s="7">
        <f>'Percentile Ranking'!C194/3+'Percentile Ranking'!D194/3+'Percentile Ranking'!E194/3</f>
        <v>0.3886666667</v>
      </c>
      <c r="D145" s="7">
        <f>'Percentile Ranking'!F194*0.25+'Percentile Ranking'!G194*0.25+'Percentile Ranking'!H194*0.25+'Percentile Ranking'!I194*0.25</f>
        <v>0.667</v>
      </c>
      <c r="E145" s="7">
        <f>'Percentile Ranking'!J194/3 + 'Percentile Ranking'!K194/3 + 'Percentile Ranking'!L194/3</f>
        <v>0.437</v>
      </c>
      <c r="F145" s="7">
        <f>'Percentile Ranking'!M194/3 + 'Percentile Ranking'!N194/3 + 'Percentile Ranking'!O194/3</f>
        <v>0.2126666667</v>
      </c>
      <c r="G145" s="7">
        <f t="shared" si="1"/>
        <v>0.4263333333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6" t="s">
        <v>150</v>
      </c>
      <c r="C146" s="7">
        <f>'Percentile Ranking'!C122/3+'Percentile Ranking'!D122/3+'Percentile Ranking'!E122/3</f>
        <v>0.6013333333</v>
      </c>
      <c r="D146" s="7">
        <f>'Percentile Ranking'!F122*0.25+'Percentile Ranking'!G122*0.25+'Percentile Ranking'!H122*0.25+'Percentile Ranking'!I122*0.25</f>
        <v>0.22225</v>
      </c>
      <c r="E146" s="7">
        <f>'Percentile Ranking'!J122/3 + 'Percentile Ranking'!K122/3 + 'Percentile Ranking'!L122/3</f>
        <v>0.1326666667</v>
      </c>
      <c r="F146" s="7">
        <f>'Percentile Ranking'!M122/3 + 'Percentile Ranking'!N122/3 + 'Percentile Ranking'!O122/3</f>
        <v>0.7453333333</v>
      </c>
      <c r="G146" s="7">
        <f t="shared" si="1"/>
        <v>0.4253958333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6" t="s">
        <v>151</v>
      </c>
      <c r="C147" s="7">
        <f>'Percentile Ranking'!C78/3+'Percentile Ranking'!D78/3+'Percentile Ranking'!E78/3</f>
        <v>0.5426666667</v>
      </c>
      <c r="D147" s="7">
        <f>'Percentile Ranking'!F78*0.25+'Percentile Ranking'!G78*0.25+'Percentile Ranking'!H78*0.25+'Percentile Ranking'!I78*0.25</f>
        <v>0.4045</v>
      </c>
      <c r="E147" s="7">
        <f>'Percentile Ranking'!J78/3 + 'Percentile Ranking'!K78/3 + 'Percentile Ranking'!L78/3</f>
        <v>0.5896666667</v>
      </c>
      <c r="F147" s="7">
        <f>'Percentile Ranking'!M78/3 + 'Percentile Ranking'!N78/3 + 'Percentile Ranking'!O78/3</f>
        <v>0.161</v>
      </c>
      <c r="G147" s="7">
        <f t="shared" si="1"/>
        <v>0.4244583333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6" t="s">
        <v>152</v>
      </c>
      <c r="C148" s="7">
        <f>'Percentile Ranking'!C90/3+'Percentile Ranking'!D90/3+'Percentile Ranking'!E90/3</f>
        <v>0.769</v>
      </c>
      <c r="D148" s="7">
        <f>'Percentile Ranking'!F90*0.25+'Percentile Ranking'!G90*0.25+'Percentile Ranking'!H90*0.25+'Percentile Ranking'!I90*0.25</f>
        <v>0.113</v>
      </c>
      <c r="E148" s="7">
        <f>'Percentile Ranking'!J90/3 + 'Percentile Ranking'!K90/3 + 'Percentile Ranking'!L90/3</f>
        <v>0.06333333333</v>
      </c>
      <c r="F148" s="7">
        <f>'Percentile Ranking'!M90/3 + 'Percentile Ranking'!N90/3 + 'Percentile Ranking'!O90/3</f>
        <v>0.7523333333</v>
      </c>
      <c r="G148" s="7">
        <f t="shared" si="1"/>
        <v>0.4244166667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6" t="s">
        <v>153</v>
      </c>
      <c r="C149" s="7">
        <f>'Percentile Ranking'!C116/3+'Percentile Ranking'!D116/3+'Percentile Ranking'!E116/3</f>
        <v>0.4303333333</v>
      </c>
      <c r="D149" s="7">
        <f>'Percentile Ranking'!F116*0.25+'Percentile Ranking'!G116*0.25+'Percentile Ranking'!H116*0.25+'Percentile Ranking'!I116*0.25</f>
        <v>0.505</v>
      </c>
      <c r="E149" s="7">
        <f>'Percentile Ranking'!J116/3 + 'Percentile Ranking'!K116/3 + 'Percentile Ranking'!L116/3</f>
        <v>0.4103333333</v>
      </c>
      <c r="F149" s="7">
        <f>'Percentile Ranking'!M116/3 + 'Percentile Ranking'!N116/3 + 'Percentile Ranking'!O116/3</f>
        <v>0.3383333333</v>
      </c>
      <c r="G149" s="7">
        <f t="shared" si="1"/>
        <v>0.421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6" t="s">
        <v>154</v>
      </c>
      <c r="C150" s="7">
        <f>'Percentile Ranking'!C124/3+'Percentile Ranking'!D124/3+'Percentile Ranking'!E124/3</f>
        <v>0.04</v>
      </c>
      <c r="D150" s="7">
        <f>'Percentile Ranking'!F124*0.25+'Percentile Ranking'!G124*0.25+'Percentile Ranking'!H124*0.25+'Percentile Ranking'!I124*0.25</f>
        <v>0.7285</v>
      </c>
      <c r="E150" s="7">
        <f>'Percentile Ranking'!J124/3 + 'Percentile Ranking'!K124/3 + 'Percentile Ranking'!L124/3</f>
        <v>0.6633333333</v>
      </c>
      <c r="F150" s="7">
        <f>'Percentile Ranking'!M124/3 + 'Percentile Ranking'!N124/3 + 'Percentile Ranking'!O124/3</f>
        <v>0.2496666667</v>
      </c>
      <c r="G150" s="7">
        <f t="shared" si="1"/>
        <v>0.420375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6" t="s">
        <v>155</v>
      </c>
      <c r="C151" s="7">
        <f>'Percentile Ranking'!C127/3+'Percentile Ranking'!D127/3+'Percentile Ranking'!E127/3</f>
        <v>0.03</v>
      </c>
      <c r="D151" s="7">
        <f>'Percentile Ranking'!F127*0.25+'Percentile Ranking'!G127*0.25+'Percentile Ranking'!H127*0.25+'Percentile Ranking'!I127*0.25</f>
        <v>0.19975</v>
      </c>
      <c r="E151" s="7">
        <f>'Percentile Ranking'!J127/3 + 'Percentile Ranking'!K127/3 + 'Percentile Ranking'!L127/3</f>
        <v>0.9466666667</v>
      </c>
      <c r="F151" s="7">
        <f>'Percentile Ranking'!M127/3 + 'Percentile Ranking'!N127/3 + 'Percentile Ranking'!O127/3</f>
        <v>0.5023333333</v>
      </c>
      <c r="G151" s="7">
        <f t="shared" si="1"/>
        <v>0.4196875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6" t="s">
        <v>156</v>
      </c>
      <c r="C152" s="7">
        <f>'Percentile Ranking'!C64/3+'Percentile Ranking'!D64/3+'Percentile Ranking'!E64/3</f>
        <v>0.757</v>
      </c>
      <c r="D152" s="7">
        <f>'Percentile Ranking'!F64*0.25+'Percentile Ranking'!G64*0.25+'Percentile Ranking'!H64*0.25+'Percentile Ranking'!I64*0.25</f>
        <v>0.181</v>
      </c>
      <c r="E152" s="7">
        <f>'Percentile Ranking'!J64/3 + 'Percentile Ranking'!K64/3 + 'Percentile Ranking'!L64/3</f>
        <v>0.06666666667</v>
      </c>
      <c r="F152" s="7">
        <f>'Percentile Ranking'!M64/3 + 'Percentile Ranking'!N64/3 + 'Percentile Ranking'!O64/3</f>
        <v>0.6686666667</v>
      </c>
      <c r="G152" s="7">
        <f t="shared" si="1"/>
        <v>0.4183333333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6" t="s">
        <v>157</v>
      </c>
      <c r="C153" s="7">
        <f>'Percentile Ranking'!C190/3+'Percentile Ranking'!D190/3+'Percentile Ranking'!E190/3</f>
        <v>0.04</v>
      </c>
      <c r="D153" s="7">
        <f>'Percentile Ranking'!F190*0.25+'Percentile Ranking'!G190*0.25+'Percentile Ranking'!H190*0.25+'Percentile Ranking'!I190*0.25</f>
        <v>0.7425</v>
      </c>
      <c r="E153" s="7">
        <f>'Percentile Ranking'!J190/3 + 'Percentile Ranking'!K190/3 + 'Percentile Ranking'!L190/3</f>
        <v>0.536</v>
      </c>
      <c r="F153" s="7">
        <f>'Percentile Ranking'!M190/3 + 'Percentile Ranking'!N190/3 + 'Percentile Ranking'!O190/3</f>
        <v>0.3483333333</v>
      </c>
      <c r="G153" s="7">
        <f t="shared" si="1"/>
        <v>0.4167083333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6" t="s">
        <v>158</v>
      </c>
      <c r="C154" s="7">
        <f>'Percentile Ranking'!C193/3+'Percentile Ranking'!D193/3+'Percentile Ranking'!E193/3</f>
        <v>0.7623333333</v>
      </c>
      <c r="D154" s="7">
        <f>'Percentile Ranking'!F193*0.25+'Percentile Ranking'!G193*0.25+'Percentile Ranking'!H193*0.25+'Percentile Ranking'!I193*0.25</f>
        <v>0.0765</v>
      </c>
      <c r="E154" s="7">
        <f>'Percentile Ranking'!J193/3 + 'Percentile Ranking'!K193/3 + 'Percentile Ranking'!L193/3</f>
        <v>0.03333333333</v>
      </c>
      <c r="F154" s="7">
        <f>'Percentile Ranking'!M193/3 + 'Percentile Ranking'!N193/3 + 'Percentile Ranking'!O193/3</f>
        <v>0.7923333333</v>
      </c>
      <c r="G154" s="7">
        <f t="shared" si="1"/>
        <v>0.416125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6" t="s">
        <v>159</v>
      </c>
      <c r="C155" s="7">
        <f>'Percentile Ranking'!C176/3+'Percentile Ranking'!D176/3+'Percentile Ranking'!E176/3</f>
        <v>0.04</v>
      </c>
      <c r="D155" s="7">
        <f>'Percentile Ranking'!F176*0.25+'Percentile Ranking'!G176*0.25+'Percentile Ranking'!H176*0.25+'Percentile Ranking'!I176*0.25</f>
        <v>0.23125</v>
      </c>
      <c r="E155" s="7">
        <f>'Percentile Ranking'!J176/3 + 'Percentile Ranking'!K176/3 + 'Percentile Ranking'!L176/3</f>
        <v>0.66</v>
      </c>
      <c r="F155" s="7">
        <f>'Percentile Ranking'!M176/3 + 'Percentile Ranking'!N176/3 + 'Percentile Ranking'!O176/3</f>
        <v>0.7186666667</v>
      </c>
      <c r="G155" s="7">
        <f t="shared" si="1"/>
        <v>0.4124791667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6" t="s">
        <v>160</v>
      </c>
      <c r="C156" s="7">
        <f>'Percentile Ranking'!C117/3+'Percentile Ranking'!D117/3+'Percentile Ranking'!E117/3</f>
        <v>0.489</v>
      </c>
      <c r="D156" s="7">
        <f>'Percentile Ranking'!F117*0.25+'Percentile Ranking'!G117*0.25+'Percentile Ranking'!H117*0.25+'Percentile Ranking'!I117*0.25</f>
        <v>0.25875</v>
      </c>
      <c r="E156" s="7">
        <f>'Percentile Ranking'!J117/3 + 'Percentile Ranking'!K117/3 + 'Percentile Ranking'!L117/3</f>
        <v>0.087</v>
      </c>
      <c r="F156" s="7">
        <f>'Percentile Ranking'!M117/3 + 'Percentile Ranking'!N117/3 + 'Percentile Ranking'!O117/3</f>
        <v>0.8123333333</v>
      </c>
      <c r="G156" s="7">
        <f t="shared" si="1"/>
        <v>0.4117708333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6" t="s">
        <v>161</v>
      </c>
      <c r="C157" s="7">
        <f>'Percentile Ranking'!C153/3+'Percentile Ranking'!D153/3+'Percentile Ranking'!E153/3</f>
        <v>0.4156666667</v>
      </c>
      <c r="D157" s="7">
        <f>'Percentile Ranking'!F153*0.25+'Percentile Ranking'!G153*0.25+'Percentile Ranking'!H153*0.25+'Percentile Ranking'!I153*0.25</f>
        <v>0.30425</v>
      </c>
      <c r="E157" s="7">
        <f>'Percentile Ranking'!J153/3 + 'Percentile Ranking'!K153/3 + 'Percentile Ranking'!L153/3</f>
        <v>0.1326666667</v>
      </c>
      <c r="F157" s="7">
        <f>'Percentile Ranking'!M153/3 + 'Percentile Ranking'!N153/3 + 'Percentile Ranking'!O153/3</f>
        <v>0.792</v>
      </c>
      <c r="G157" s="7">
        <f t="shared" si="1"/>
        <v>0.4111458333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6" t="s">
        <v>162</v>
      </c>
      <c r="C158" s="7">
        <f>'Percentile Ranking'!C175/3+'Percentile Ranking'!D175/3+'Percentile Ranking'!E175/3</f>
        <v>0.4673333333</v>
      </c>
      <c r="D158" s="7">
        <f>'Percentile Ranking'!F175*0.25+'Percentile Ranking'!G175*0.25+'Percentile Ranking'!H175*0.25+'Percentile Ranking'!I175*0.25</f>
        <v>0.52275</v>
      </c>
      <c r="E158" s="7">
        <f>'Percentile Ranking'!J175/3 + 'Percentile Ranking'!K175/3 + 'Percentile Ranking'!L175/3</f>
        <v>0.248</v>
      </c>
      <c r="F158" s="7">
        <f>'Percentile Ranking'!M175/3 + 'Percentile Ranking'!N175/3 + 'Percentile Ranking'!O175/3</f>
        <v>0.37</v>
      </c>
      <c r="G158" s="7">
        <f t="shared" si="1"/>
        <v>0.4020208333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6" t="s">
        <v>163</v>
      </c>
      <c r="C159" s="7">
        <f>'Percentile Ranking'!C172/3+'Percentile Ranking'!D172/3+'Percentile Ranking'!E172/3</f>
        <v>0.2176666667</v>
      </c>
      <c r="D159" s="7">
        <f>'Percentile Ranking'!F172*0.25+'Percentile Ranking'!G172*0.25+'Percentile Ranking'!H172*0.25+'Percentile Ranking'!I172*0.25</f>
        <v>0.294</v>
      </c>
      <c r="E159" s="7">
        <f>'Percentile Ranking'!J172/3 + 'Percentile Ranking'!K172/3 + 'Percentile Ranking'!L172/3</f>
        <v>0.169</v>
      </c>
      <c r="F159" s="7">
        <f>'Percentile Ranking'!M172/3 + 'Percentile Ranking'!N172/3 + 'Percentile Ranking'!O172/3</f>
        <v>0.9013333333</v>
      </c>
      <c r="G159" s="7">
        <f t="shared" si="1"/>
        <v>0.3955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6" t="s">
        <v>164</v>
      </c>
      <c r="C160" s="7">
        <f>'Percentile Ranking'!C114/3+'Percentile Ranking'!D114/3+'Percentile Ranking'!E114/3</f>
        <v>0.04</v>
      </c>
      <c r="D160" s="7">
        <f>'Percentile Ranking'!F114*0.25+'Percentile Ranking'!G114*0.25+'Percentile Ranking'!H114*0.25+'Percentile Ranking'!I114*0.25</f>
        <v>0.681</v>
      </c>
      <c r="E160" s="7">
        <f>'Percentile Ranking'!J114/3 + 'Percentile Ranking'!K114/3 + 'Percentile Ranking'!L114/3</f>
        <v>0.633</v>
      </c>
      <c r="F160" s="7">
        <f>'Percentile Ranking'!M114/3 + 'Percentile Ranking'!N114/3 + 'Percentile Ranking'!O114/3</f>
        <v>0.221</v>
      </c>
      <c r="G160" s="7">
        <f t="shared" si="1"/>
        <v>0.39375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6" t="s">
        <v>165</v>
      </c>
      <c r="C161" s="7">
        <f>'Percentile Ranking'!C113/3+'Percentile Ranking'!D113/3+'Percentile Ranking'!E113/3</f>
        <v>0.7166666667</v>
      </c>
      <c r="D161" s="7">
        <f>'Percentile Ranking'!F113*0.25+'Percentile Ranking'!G113*0.25+'Percentile Ranking'!H113*0.25+'Percentile Ranking'!I113*0.25</f>
        <v>0.21725</v>
      </c>
      <c r="E161" s="7">
        <f>'Percentile Ranking'!J113/3 + 'Percentile Ranking'!K113/3 + 'Percentile Ranking'!L113/3</f>
        <v>0.129</v>
      </c>
      <c r="F161" s="7">
        <f>'Percentile Ranking'!M113/3 + 'Percentile Ranking'!N113/3 + 'Percentile Ranking'!O113/3</f>
        <v>0.5123333333</v>
      </c>
      <c r="G161" s="7">
        <f t="shared" si="1"/>
        <v>0.3938125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6" t="s">
        <v>166</v>
      </c>
      <c r="C162" s="7">
        <f>'Percentile Ranking'!C187/3+'Percentile Ranking'!D187/3+'Percentile Ranking'!E187/3</f>
        <v>0.2793333333</v>
      </c>
      <c r="D162" s="7">
        <f>'Percentile Ranking'!F187*0.25+'Percentile Ranking'!G187*0.25+'Percentile Ranking'!H187*0.25+'Percentile Ranking'!I187*0.25</f>
        <v>0.63925</v>
      </c>
      <c r="E162" s="7">
        <f>'Percentile Ranking'!J187/3 + 'Percentile Ranking'!K187/3 + 'Percentile Ranking'!L187/3</f>
        <v>0.3466666667</v>
      </c>
      <c r="F162" s="7">
        <f>'Percentile Ranking'!M187/3 + 'Percentile Ranking'!N187/3 + 'Percentile Ranking'!O187/3</f>
        <v>0.31</v>
      </c>
      <c r="G162" s="7">
        <f t="shared" si="1"/>
        <v>0.3938125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6" t="s">
        <v>167</v>
      </c>
      <c r="C163" s="7">
        <f>'Percentile Ranking'!C195/3+'Percentile Ranking'!D195/3+'Percentile Ranking'!E195/3</f>
        <v>0.2896666667</v>
      </c>
      <c r="D163" s="7">
        <f>'Percentile Ranking'!F195*0.25+'Percentile Ranking'!G195*0.25+'Percentile Ranking'!H195*0.25+'Percentile Ranking'!I195*0.25</f>
        <v>0.39825</v>
      </c>
      <c r="E163" s="7">
        <f>'Percentile Ranking'!J195/3 + 'Percentile Ranking'!K195/3 + 'Percentile Ranking'!L195/3</f>
        <v>0.4523333333</v>
      </c>
      <c r="F163" s="7">
        <f>'Percentile Ranking'!M195/3 + 'Percentile Ranking'!N195/3 + 'Percentile Ranking'!O195/3</f>
        <v>0.432</v>
      </c>
      <c r="G163" s="7">
        <f t="shared" si="1"/>
        <v>0.3930625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6" t="s">
        <v>168</v>
      </c>
      <c r="C164" s="7">
        <f>'Percentile Ranking'!C171/3+'Percentile Ranking'!D171/3+'Percentile Ranking'!E171/3</f>
        <v>0.7033333333</v>
      </c>
      <c r="D164" s="7">
        <f>'Percentile Ranking'!F171*0.25+'Percentile Ranking'!G171*0.25+'Percentile Ranking'!H171*0.25+'Percentile Ranking'!I171*0.25</f>
        <v>0.11925</v>
      </c>
      <c r="E164" s="7">
        <f>'Percentile Ranking'!J171/3 + 'Percentile Ranking'!K171/3 + 'Percentile Ranking'!L171/3</f>
        <v>0.04666666667</v>
      </c>
      <c r="F164" s="7">
        <f>'Percentile Ranking'!M171/3 + 'Percentile Ranking'!N171/3 + 'Percentile Ranking'!O171/3</f>
        <v>0.6983333333</v>
      </c>
      <c r="G164" s="7">
        <f t="shared" si="1"/>
        <v>0.3918958333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6" t="s">
        <v>169</v>
      </c>
      <c r="C165" s="7">
        <f>'Percentile Ranking'!C18/3+'Percentile Ranking'!D18/3+'Percentile Ranking'!E18/3</f>
        <v>0.4623333333</v>
      </c>
      <c r="D165" s="7">
        <f>'Percentile Ranking'!F18*0.25+'Percentile Ranking'!G18*0.25+'Percentile Ranking'!H18*0.25+'Percentile Ranking'!I18*0.25</f>
        <v>0.49875</v>
      </c>
      <c r="E165" s="7">
        <f>'Percentile Ranking'!J18/3 + 'Percentile Ranking'!K18/3 + 'Percentile Ranking'!L18/3</f>
        <v>0.337</v>
      </c>
      <c r="F165" s="7">
        <f>'Percentile Ranking'!M18/3 + 'Percentile Ranking'!N18/3 + 'Percentile Ranking'!O18/3</f>
        <v>0.256</v>
      </c>
      <c r="G165" s="7">
        <f t="shared" si="1"/>
        <v>0.3885208333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6" t="s">
        <v>170</v>
      </c>
      <c r="C166" s="7">
        <f>'Percentile Ranking'!C88/3+'Percentile Ranking'!D88/3+'Percentile Ranking'!E88/3</f>
        <v>0.7086666667</v>
      </c>
      <c r="D166" s="7">
        <f>'Percentile Ranking'!F88*0.25+'Percentile Ranking'!G88*0.25+'Percentile Ranking'!H88*0.25+'Percentile Ranking'!I88*0.25</f>
        <v>0.176</v>
      </c>
      <c r="E166" s="7">
        <f>'Percentile Ranking'!J88/3 + 'Percentile Ranking'!K88/3 + 'Percentile Ranking'!L88/3</f>
        <v>0.1003333333</v>
      </c>
      <c r="F166" s="7">
        <f>'Percentile Ranking'!M88/3 + 'Percentile Ranking'!N88/3 + 'Percentile Ranking'!O88/3</f>
        <v>0.553</v>
      </c>
      <c r="G166" s="7">
        <f t="shared" si="1"/>
        <v>0.3845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6" t="s">
        <v>171</v>
      </c>
      <c r="C167" s="7">
        <f>'Percentile Ranking'!C181/3+'Percentile Ranking'!D181/3+'Percentile Ranking'!E181/3</f>
        <v>0.3063333333</v>
      </c>
      <c r="D167" s="7">
        <f>'Percentile Ranking'!F181*0.25+'Percentile Ranking'!G181*0.25+'Percentile Ranking'!H181*0.25+'Percentile Ranking'!I181*0.25</f>
        <v>0.27525</v>
      </c>
      <c r="E167" s="7">
        <f>'Percentile Ranking'!J181/3 + 'Percentile Ranking'!K181/3 + 'Percentile Ranking'!L181/3</f>
        <v>0.263</v>
      </c>
      <c r="F167" s="7">
        <f>'Percentile Ranking'!M181/3 + 'Percentile Ranking'!N181/3 + 'Percentile Ranking'!O181/3</f>
        <v>0.6833333333</v>
      </c>
      <c r="G167" s="7">
        <f t="shared" si="1"/>
        <v>0.3819791667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6" t="s">
        <v>172</v>
      </c>
      <c r="C168" s="7">
        <f>'Percentile Ranking'!C201/3+'Percentile Ranking'!D201/3+'Percentile Ranking'!E201/3</f>
        <v>0.04</v>
      </c>
      <c r="D168" s="7">
        <f>'Percentile Ranking'!F201*0.25+'Percentile Ranking'!G201*0.25+'Percentile Ranking'!H201*0.25+'Percentile Ranking'!I201*0.25</f>
        <v>0.69225</v>
      </c>
      <c r="E168" s="7">
        <f>'Percentile Ranking'!J201/3 + 'Percentile Ranking'!K201/3 + 'Percentile Ranking'!L201/3</f>
        <v>0.4603333333</v>
      </c>
      <c r="F168" s="7">
        <f>'Percentile Ranking'!M201/3 + 'Percentile Ranking'!N201/3 + 'Percentile Ranking'!O201/3</f>
        <v>0.3316666667</v>
      </c>
      <c r="G168" s="7">
        <f t="shared" si="1"/>
        <v>0.3810625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6" t="s">
        <v>173</v>
      </c>
      <c r="C169" s="7">
        <f>'Percentile Ranking'!C136/3+'Percentile Ranking'!D136/3+'Percentile Ranking'!E136/3</f>
        <v>0.238</v>
      </c>
      <c r="D169" s="7">
        <f>'Percentile Ranking'!F136*0.25+'Percentile Ranking'!G136*0.25+'Percentile Ranking'!H136*0.25+'Percentile Ranking'!I136*0.25</f>
        <v>0.2765</v>
      </c>
      <c r="E169" s="7">
        <f>'Percentile Ranking'!J136/3 + 'Percentile Ranking'!K136/3 + 'Percentile Ranking'!L136/3</f>
        <v>0.2913333333</v>
      </c>
      <c r="F169" s="7">
        <f>'Percentile Ranking'!M136/3 + 'Percentile Ranking'!N136/3 + 'Percentile Ranking'!O136/3</f>
        <v>0.7186666667</v>
      </c>
      <c r="G169" s="7">
        <f t="shared" si="1"/>
        <v>0.381125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6" t="s">
        <v>174</v>
      </c>
      <c r="C170" s="7">
        <f>'Percentile Ranking'!C73/3+'Percentile Ranking'!D73/3+'Percentile Ranking'!E73/3</f>
        <v>0.2563333333</v>
      </c>
      <c r="D170" s="7">
        <f>'Percentile Ranking'!F73*0.25+'Percentile Ranking'!G73*0.25+'Percentile Ranking'!H73*0.25+'Percentile Ranking'!I73*0.25</f>
        <v>0.21375</v>
      </c>
      <c r="E170" s="7">
        <f>'Percentile Ranking'!J73/3 + 'Percentile Ranking'!K73/3 + 'Percentile Ranking'!L73/3</f>
        <v>0.481</v>
      </c>
      <c r="F170" s="7">
        <f>'Percentile Ranking'!M73/3 + 'Percentile Ranking'!N73/3 + 'Percentile Ranking'!O73/3</f>
        <v>0.5713333333</v>
      </c>
      <c r="G170" s="7">
        <f t="shared" si="1"/>
        <v>0.3806041667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6" t="s">
        <v>175</v>
      </c>
      <c r="C171" s="7">
        <f>'Percentile Ranking'!C128/3+'Percentile Ranking'!D128/3+'Percentile Ranking'!E128/3</f>
        <v>0.5526666667</v>
      </c>
      <c r="D171" s="7">
        <f>'Percentile Ranking'!F128*0.25+'Percentile Ranking'!G128*0.25+'Percentile Ranking'!H128*0.25+'Percentile Ranking'!I128*0.25</f>
        <v>0.21225</v>
      </c>
      <c r="E171" s="7">
        <f>'Percentile Ranking'!J128/3 + 'Percentile Ranking'!K128/3 + 'Percentile Ranking'!L128/3</f>
        <v>0.6466666667</v>
      </c>
      <c r="F171" s="7">
        <f>'Percentile Ranking'!M128/3 + 'Percentile Ranking'!N128/3 + 'Percentile Ranking'!O128/3</f>
        <v>0.08866666667</v>
      </c>
      <c r="G171" s="7">
        <f t="shared" si="1"/>
        <v>0.3750625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6" t="s">
        <v>176</v>
      </c>
      <c r="C172" s="7">
        <f>'Percentile Ranking'!C95/3+'Percentile Ranking'!D95/3+'Percentile Ranking'!E95/3</f>
        <v>0.7686666667</v>
      </c>
      <c r="D172" s="7">
        <f>'Percentile Ranking'!F95*0.25+'Percentile Ranking'!G95*0.25+'Percentile Ranking'!H95*0.25+'Percentile Ranking'!I95*0.25</f>
        <v>0.176</v>
      </c>
      <c r="E172" s="7">
        <f>'Percentile Ranking'!J95/3 + 'Percentile Ranking'!K95/3 + 'Percentile Ranking'!L95/3</f>
        <v>0.08533333333</v>
      </c>
      <c r="F172" s="7">
        <f>'Percentile Ranking'!M95/3 + 'Percentile Ranking'!N95/3 + 'Percentile Ranking'!O95/3</f>
        <v>0.464</v>
      </c>
      <c r="G172" s="7">
        <f t="shared" si="1"/>
        <v>0.3735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6" t="s">
        <v>177</v>
      </c>
      <c r="C173" s="7">
        <f>'Percentile Ranking'!C40/3+'Percentile Ranking'!D40/3+'Percentile Ranking'!E40/3</f>
        <v>0.1273333333</v>
      </c>
      <c r="D173" s="7">
        <f>'Percentile Ranking'!F40*0.25+'Percentile Ranking'!G40*0.25+'Percentile Ranking'!H40*0.25+'Percentile Ranking'!I40*0.25</f>
        <v>0.29125</v>
      </c>
      <c r="E173" s="7">
        <f>'Percentile Ranking'!J40/3 + 'Percentile Ranking'!K40/3 + 'Percentile Ranking'!L40/3</f>
        <v>0.5963333333</v>
      </c>
      <c r="F173" s="7">
        <f>'Percentile Ranking'!M40/3 + 'Percentile Ranking'!N40/3 + 'Percentile Ranking'!O40/3</f>
        <v>0.4636666667</v>
      </c>
      <c r="G173" s="7">
        <f t="shared" si="1"/>
        <v>0.3696458333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6" t="s">
        <v>178</v>
      </c>
      <c r="C174" s="7">
        <f>'Percentile Ranking'!C8/3+'Percentile Ranking'!D8/3+'Percentile Ranking'!E8/3</f>
        <v>0.33</v>
      </c>
      <c r="D174" s="7">
        <f>'Percentile Ranking'!F8*0.25+'Percentile Ranking'!G8*0.25+'Percentile Ranking'!H8*0.25+'Percentile Ranking'!I8*0.25</f>
        <v>0.176</v>
      </c>
      <c r="E174" s="7">
        <f>'Percentile Ranking'!J8/3 + 'Percentile Ranking'!K8/3 + 'Percentile Ranking'!L8/3</f>
        <v>0.4323333333</v>
      </c>
      <c r="F174" s="7">
        <f>'Percentile Ranking'!M8/3 + 'Percentile Ranking'!N8/3 + 'Percentile Ranking'!O8/3</f>
        <v>0.506</v>
      </c>
      <c r="G174" s="7">
        <f t="shared" si="1"/>
        <v>0.3610833333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6" t="s">
        <v>179</v>
      </c>
      <c r="C175" s="7">
        <f>'Percentile Ranking'!C119/3+'Percentile Ranking'!D119/3+'Percentile Ranking'!E119/3</f>
        <v>0.469</v>
      </c>
      <c r="D175" s="7">
        <f>'Percentile Ranking'!F119*0.25+'Percentile Ranking'!G119*0.25+'Percentile Ranking'!H119*0.25+'Percentile Ranking'!I119*0.25</f>
        <v>0.25625</v>
      </c>
      <c r="E175" s="7">
        <f>'Percentile Ranking'!J119/3 + 'Percentile Ranking'!K119/3 + 'Percentile Ranking'!L119/3</f>
        <v>0.216</v>
      </c>
      <c r="F175" s="7">
        <f>'Percentile Ranking'!M119/3 + 'Percentile Ranking'!N119/3 + 'Percentile Ranking'!O119/3</f>
        <v>0.479</v>
      </c>
      <c r="G175" s="7">
        <f t="shared" si="1"/>
        <v>0.3550625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6" t="s">
        <v>180</v>
      </c>
      <c r="C176" s="7">
        <f>'Percentile Ranking'!C25/3+'Percentile Ranking'!D25/3+'Percentile Ranking'!E25/3</f>
        <v>0.588</v>
      </c>
      <c r="D176" s="7">
        <f>'Percentile Ranking'!F25*0.25+'Percentile Ranking'!G25*0.25+'Percentile Ranking'!H25*0.25+'Percentile Ranking'!I25*0.25</f>
        <v>0.14575</v>
      </c>
      <c r="E176" s="7">
        <f>'Percentile Ranking'!J25/3 + 'Percentile Ranking'!K25/3 + 'Percentile Ranking'!L25/3</f>
        <v>0.06533333333</v>
      </c>
      <c r="F176" s="7">
        <f>'Percentile Ranking'!M25/3 + 'Percentile Ranking'!N25/3 + 'Percentile Ranking'!O25/3</f>
        <v>0.5876666667</v>
      </c>
      <c r="G176" s="7">
        <f t="shared" si="1"/>
        <v>0.3466875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6" t="s">
        <v>181</v>
      </c>
      <c r="C177" s="7">
        <f>'Percentile Ranking'!C31/3+'Percentile Ranking'!D31/3+'Percentile Ranking'!E31/3</f>
        <v>0.469</v>
      </c>
      <c r="D177" s="7">
        <f>'Percentile Ranking'!F31*0.25+'Percentile Ranking'!G31*0.25+'Percentile Ranking'!H31*0.25+'Percentile Ranking'!I31*0.25</f>
        <v>0.09775</v>
      </c>
      <c r="E177" s="7">
        <f>'Percentile Ranking'!J31/3 + 'Percentile Ranking'!K31/3 + 'Percentile Ranking'!L31/3</f>
        <v>0.045</v>
      </c>
      <c r="F177" s="7">
        <f>'Percentile Ranking'!M31/3 + 'Percentile Ranking'!N31/3 + 'Percentile Ranking'!O31/3</f>
        <v>0.734</v>
      </c>
      <c r="G177" s="7">
        <f t="shared" si="1"/>
        <v>0.3364375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6" t="s">
        <v>182</v>
      </c>
      <c r="C178" s="7">
        <f>'Percentile Ranking'!C182/3+'Percentile Ranking'!D182/3+'Percentile Ranking'!E182/3</f>
        <v>0.4353333333</v>
      </c>
      <c r="D178" s="7">
        <f>'Percentile Ranking'!F182*0.25+'Percentile Ranking'!G182*0.25+'Percentile Ranking'!H182*0.25+'Percentile Ranking'!I182*0.25</f>
        <v>0.28875</v>
      </c>
      <c r="E178" s="7">
        <f>'Percentile Ranking'!J182/3 + 'Percentile Ranking'!K182/3 + 'Percentile Ranking'!L182/3</f>
        <v>0.1626666667</v>
      </c>
      <c r="F178" s="7">
        <f>'Percentile Ranking'!M182/3 + 'Percentile Ranking'!N182/3 + 'Percentile Ranking'!O182/3</f>
        <v>0.442</v>
      </c>
      <c r="G178" s="7">
        <f t="shared" si="1"/>
        <v>0.3321875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6" t="s">
        <v>183</v>
      </c>
      <c r="C179" s="7">
        <f>'Percentile Ranking'!C45/3+'Percentile Ranking'!D45/3+'Percentile Ranking'!E45/3</f>
        <v>0.412</v>
      </c>
      <c r="D179" s="7">
        <f>'Percentile Ranking'!F45*0.25+'Percentile Ranking'!G45*0.25+'Percentile Ranking'!H45*0.25+'Percentile Ranking'!I45*0.25</f>
        <v>0.1005</v>
      </c>
      <c r="E179" s="7">
        <f>'Percentile Ranking'!J45/3 + 'Percentile Ranking'!K45/3 + 'Percentile Ranking'!L45/3</f>
        <v>0.035</v>
      </c>
      <c r="F179" s="7">
        <f>'Percentile Ranking'!M45/3 + 'Percentile Ranking'!N45/3 + 'Percentile Ranking'!O45/3</f>
        <v>0.7806666667</v>
      </c>
      <c r="G179" s="7">
        <f t="shared" si="1"/>
        <v>0.3320416667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6" t="s">
        <v>184</v>
      </c>
      <c r="C180" s="7">
        <f>'Percentile Ranking'!C157/3+'Percentile Ranking'!D157/3+'Percentile Ranking'!E157/3</f>
        <v>0.449</v>
      </c>
      <c r="D180" s="7">
        <f>'Percentile Ranking'!F157*0.25+'Percentile Ranking'!G157*0.25+'Percentile Ranking'!H157*0.25+'Percentile Ranking'!I157*0.25</f>
        <v>0.045</v>
      </c>
      <c r="E180" s="7">
        <f>'Percentile Ranking'!J157/3 + 'Percentile Ranking'!K157/3 + 'Percentile Ranking'!L157/3</f>
        <v>0.025</v>
      </c>
      <c r="F180" s="7">
        <f>'Percentile Ranking'!M157/3 + 'Percentile Ranking'!N157/3 + 'Percentile Ranking'!O157/3</f>
        <v>0.7836666667</v>
      </c>
      <c r="G180" s="7">
        <f t="shared" si="1"/>
        <v>0.3256666667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6" t="s">
        <v>185</v>
      </c>
      <c r="C181" s="7">
        <f>'Percentile Ranking'!C85/3+'Percentile Ranking'!D85/3+'Percentile Ranking'!E85/3</f>
        <v>0.04</v>
      </c>
      <c r="D181" s="7">
        <f>'Percentile Ranking'!F85*0.25+'Percentile Ranking'!G85*0.25+'Percentile Ranking'!H85*0.25+'Percentile Ranking'!I85*0.25</f>
        <v>0.5275</v>
      </c>
      <c r="E181" s="7">
        <f>'Percentile Ranking'!J85/3 + 'Percentile Ranking'!K85/3 + 'Percentile Ranking'!L85/3</f>
        <v>0.4926666667</v>
      </c>
      <c r="F181" s="7">
        <f>'Percentile Ranking'!M85/3 + 'Percentile Ranking'!N85/3 + 'Percentile Ranking'!O85/3</f>
        <v>0.2313333333</v>
      </c>
      <c r="G181" s="7">
        <f t="shared" si="1"/>
        <v>0.322875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6" t="s">
        <v>186</v>
      </c>
      <c r="C182" s="7">
        <f>'Percentile Ranking'!C38/3+'Percentile Ranking'!D38/3+'Percentile Ranking'!E38/3</f>
        <v>0.4353333333</v>
      </c>
      <c r="D182" s="7">
        <f>'Percentile Ranking'!F38*0.25+'Percentile Ranking'!G38*0.25+'Percentile Ranking'!H38*0.25+'Percentile Ranking'!I38*0.25</f>
        <v>0.1105</v>
      </c>
      <c r="E182" s="7">
        <f>'Percentile Ranking'!J38/3 + 'Percentile Ranking'!K38/3 + 'Percentile Ranking'!L38/3</f>
        <v>0.1706666667</v>
      </c>
      <c r="F182" s="7">
        <f>'Percentile Ranking'!M38/3 + 'Percentile Ranking'!N38/3 + 'Percentile Ranking'!O38/3</f>
        <v>0.5676666667</v>
      </c>
      <c r="G182" s="7">
        <f t="shared" si="1"/>
        <v>0.3210416667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6" t="s">
        <v>187</v>
      </c>
      <c r="C183" s="7">
        <f>'Percentile Ranking'!C199/3+'Percentile Ranking'!D199/3+'Percentile Ranking'!E199/3</f>
        <v>0.154</v>
      </c>
      <c r="D183" s="7">
        <f>'Percentile Ranking'!F199*0.25+'Percentile Ranking'!G199*0.25+'Percentile Ranking'!H199*0.25+'Percentile Ranking'!I199*0.25</f>
        <v>0.07025</v>
      </c>
      <c r="E183" s="7">
        <f>'Percentile Ranking'!J199/3 + 'Percentile Ranking'!K199/3 + 'Percentile Ranking'!L199/3</f>
        <v>0.218</v>
      </c>
      <c r="F183" s="7">
        <f>'Percentile Ranking'!M199/3 + 'Percentile Ranking'!N199/3 + 'Percentile Ranking'!O199/3</f>
        <v>0.8293333333</v>
      </c>
      <c r="G183" s="7">
        <f t="shared" si="1"/>
        <v>0.3178958333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6" t="s">
        <v>188</v>
      </c>
      <c r="C184" s="7">
        <f>'Percentile Ranking'!C62/3+'Percentile Ranking'!D62/3+'Percentile Ranking'!E62/3</f>
        <v>0.3616666667</v>
      </c>
      <c r="D184" s="7">
        <f>'Percentile Ranking'!F62*0.25+'Percentile Ranking'!G62*0.25+'Percentile Ranking'!H62*0.25+'Percentile Ranking'!I62*0.25</f>
        <v>0.12675</v>
      </c>
      <c r="E184" s="7">
        <f>'Percentile Ranking'!J62/3 + 'Percentile Ranking'!K62/3 + 'Percentile Ranking'!L62/3</f>
        <v>0.531</v>
      </c>
      <c r="F184" s="7">
        <f>'Percentile Ranking'!M62/3 + 'Percentile Ranking'!N62/3 + 'Percentile Ranking'!O62/3</f>
        <v>0.2463333333</v>
      </c>
      <c r="G184" s="7">
        <f t="shared" si="1"/>
        <v>0.3164375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6" t="s">
        <v>189</v>
      </c>
      <c r="C185" s="7">
        <f>'Percentile Ranking'!C198/3+'Percentile Ranking'!D198/3+'Percentile Ranking'!E198/3</f>
        <v>0.04</v>
      </c>
      <c r="D185" s="7">
        <f>'Percentile Ranking'!F198*0.25+'Percentile Ranking'!G198*0.25+'Percentile Ranking'!H198*0.25+'Percentile Ranking'!I198*0.25</f>
        <v>0.36075</v>
      </c>
      <c r="E185" s="7">
        <f>'Percentile Ranking'!J198/3 + 'Percentile Ranking'!K198/3 + 'Percentile Ranking'!L198/3</f>
        <v>0.576</v>
      </c>
      <c r="F185" s="7">
        <f>'Percentile Ranking'!M198/3 + 'Percentile Ranking'!N198/3 + 'Percentile Ranking'!O198/3</f>
        <v>0.2746666667</v>
      </c>
      <c r="G185" s="7">
        <f t="shared" si="1"/>
        <v>0.3128541667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6" t="s">
        <v>190</v>
      </c>
      <c r="C186" s="7">
        <f>'Percentile Ranking'!C36/3+'Percentile Ranking'!D36/3+'Percentile Ranking'!E36/3</f>
        <v>0.07533333333</v>
      </c>
      <c r="D186" s="7">
        <f>'Percentile Ranking'!F36*0.25+'Percentile Ranking'!G36*0.25+'Percentile Ranking'!H36*0.25+'Percentile Ranking'!I36*0.25</f>
        <v>0.1305</v>
      </c>
      <c r="E186" s="7">
        <f>'Percentile Ranking'!J36/3 + 'Percentile Ranking'!K36/3 + 'Percentile Ranking'!L36/3</f>
        <v>0.5613333333</v>
      </c>
      <c r="F186" s="7">
        <f>'Percentile Ranking'!M36/3 + 'Percentile Ranking'!N36/3 + 'Percentile Ranking'!O36/3</f>
        <v>0.444</v>
      </c>
      <c r="G186" s="7">
        <f t="shared" si="1"/>
        <v>0.3027916667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6" t="s">
        <v>191</v>
      </c>
      <c r="C187" s="7">
        <f>'Percentile Ranking'!C65/3+'Percentile Ranking'!D65/3+'Percentile Ranking'!E65/3</f>
        <v>0.189</v>
      </c>
      <c r="D187" s="7">
        <f>'Percentile Ranking'!F65*0.25+'Percentile Ranking'!G65*0.25+'Percentile Ranking'!H65*0.25+'Percentile Ranking'!I65*0.25</f>
        <v>0.17075</v>
      </c>
      <c r="E187" s="7">
        <f>'Percentile Ranking'!J65/3 + 'Percentile Ranking'!K65/3 + 'Percentile Ranking'!L65/3</f>
        <v>0.3283333333</v>
      </c>
      <c r="F187" s="7">
        <f>'Percentile Ranking'!M65/3 + 'Percentile Ranking'!N65/3 + 'Percentile Ranking'!O65/3</f>
        <v>0.489</v>
      </c>
      <c r="G187" s="7">
        <f t="shared" si="1"/>
        <v>0.2942708333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6" t="s">
        <v>192</v>
      </c>
      <c r="C188" s="7">
        <f>'Percentile Ranking'!C155/3+'Percentile Ranking'!D155/3+'Percentile Ranking'!E155/3</f>
        <v>0.04</v>
      </c>
      <c r="D188" s="7">
        <f>'Percentile Ranking'!F155*0.25+'Percentile Ranking'!G155*0.25+'Percentile Ranking'!H155*0.25+'Percentile Ranking'!I155*0.25</f>
        <v>0.46225</v>
      </c>
      <c r="E188" s="7">
        <f>'Percentile Ranking'!J155/3 + 'Percentile Ranking'!K155/3 + 'Percentile Ranking'!L155/3</f>
        <v>0.4556666667</v>
      </c>
      <c r="F188" s="7">
        <f>'Percentile Ranking'!M155/3 + 'Percentile Ranking'!N155/3 + 'Percentile Ranking'!O155/3</f>
        <v>0.211</v>
      </c>
      <c r="G188" s="7">
        <f t="shared" si="1"/>
        <v>0.2922291667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6" t="s">
        <v>193</v>
      </c>
      <c r="C189" s="7">
        <f>'Percentile Ranking'!C32/3+'Percentile Ranking'!D32/3+'Percentile Ranking'!E32/3</f>
        <v>0.2626666667</v>
      </c>
      <c r="D189" s="7">
        <f>'Percentile Ranking'!F32*0.25+'Percentile Ranking'!G32*0.25+'Percentile Ranking'!H32*0.25+'Percentile Ranking'!I32*0.25</f>
        <v>0.0525</v>
      </c>
      <c r="E189" s="7">
        <f>'Percentile Ranking'!J32/3 + 'Percentile Ranking'!K32/3 + 'Percentile Ranking'!L32/3</f>
        <v>0.035</v>
      </c>
      <c r="F189" s="7">
        <f>'Percentile Ranking'!M32/3 + 'Percentile Ranking'!N32/3 + 'Percentile Ranking'!O32/3</f>
        <v>0.7973333333</v>
      </c>
      <c r="G189" s="7">
        <f t="shared" si="1"/>
        <v>0.286875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6" t="s">
        <v>194</v>
      </c>
      <c r="C190" s="7">
        <f>'Percentile Ranking'!C203/3+'Percentile Ranking'!D203/3+'Percentile Ranking'!E203/3</f>
        <v>0.278</v>
      </c>
      <c r="D190" s="7">
        <f>'Percentile Ranking'!F203*0.25+'Percentile Ranking'!G203*0.25+'Percentile Ranking'!H203*0.25+'Percentile Ranking'!I203*0.25</f>
        <v>0.054</v>
      </c>
      <c r="E190" s="7">
        <f>'Percentile Ranking'!J203/3 + 'Percentile Ranking'!K203/3 + 'Percentile Ranking'!L203/3</f>
        <v>0.05833333333</v>
      </c>
      <c r="F190" s="7">
        <f>'Percentile Ranking'!M203/3 + 'Percentile Ranking'!N203/3 + 'Percentile Ranking'!O203/3</f>
        <v>0.7403333333</v>
      </c>
      <c r="G190" s="7">
        <f t="shared" si="1"/>
        <v>0.2826666667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6" t="s">
        <v>195</v>
      </c>
      <c r="C191" s="7">
        <f>'Percentile Ranking'!C156/3+'Percentile Ranking'!D156/3+'Percentile Ranking'!E156/3</f>
        <v>0.077</v>
      </c>
      <c r="D191" s="7">
        <f>'Percentile Ranking'!F156*0.25+'Percentile Ranking'!G156*0.25+'Percentile Ranking'!H156*0.25+'Percentile Ranking'!I156*0.25</f>
        <v>0.216</v>
      </c>
      <c r="E191" s="7">
        <f>'Percentile Ranking'!J156/3 + 'Percentile Ranking'!K156/3 + 'Percentile Ranking'!L156/3</f>
        <v>0.2496666667</v>
      </c>
      <c r="F191" s="7">
        <f>'Percentile Ranking'!M156/3 + 'Percentile Ranking'!N156/3 + 'Percentile Ranking'!O156/3</f>
        <v>0.5563333333</v>
      </c>
      <c r="G191" s="7">
        <f t="shared" si="1"/>
        <v>0.27475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6" t="s">
        <v>196</v>
      </c>
      <c r="C192" s="7">
        <f>'Percentile Ranking'!C150/3+'Percentile Ranking'!D150/3+'Percentile Ranking'!E150/3</f>
        <v>0.293</v>
      </c>
      <c r="D192" s="7">
        <f>'Percentile Ranking'!F150*0.25+'Percentile Ranking'!G150*0.25+'Percentile Ranking'!H150*0.25+'Percentile Ranking'!I150*0.25</f>
        <v>0.2675</v>
      </c>
      <c r="E192" s="7">
        <f>'Percentile Ranking'!J150/3 + 'Percentile Ranking'!K150/3 + 'Percentile Ranking'!L150/3</f>
        <v>0.389</v>
      </c>
      <c r="F192" s="7">
        <f>'Percentile Ranking'!M150/3 + 'Percentile Ranking'!N150/3 + 'Percentile Ranking'!O150/3</f>
        <v>0.1203333333</v>
      </c>
      <c r="G192" s="7">
        <f t="shared" si="1"/>
        <v>0.2674583333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6" t="s">
        <v>197</v>
      </c>
      <c r="C193" s="7">
        <f>'Percentile Ranking'!C39/3+'Percentile Ranking'!D39/3+'Percentile Ranking'!E39/3</f>
        <v>0.04</v>
      </c>
      <c r="D193" s="7">
        <f>'Percentile Ranking'!F39*0.25+'Percentile Ranking'!G39*0.25+'Percentile Ranking'!H39*0.25+'Percentile Ranking'!I39*0.25</f>
        <v>0.118</v>
      </c>
      <c r="E193" s="7">
        <f>'Percentile Ranking'!J39/3 + 'Percentile Ranking'!K39/3 + 'Percentile Ranking'!L39/3</f>
        <v>0.387</v>
      </c>
      <c r="F193" s="7">
        <f>'Percentile Ranking'!M39/3 + 'Percentile Ranking'!N39/3 + 'Percentile Ranking'!O39/3</f>
        <v>0.509</v>
      </c>
      <c r="G193" s="7">
        <f t="shared" si="1"/>
        <v>0.2635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6" t="s">
        <v>198</v>
      </c>
      <c r="C194" s="7">
        <f>'Percentile Ranking'!C173/3+'Percentile Ranking'!D173/3+'Percentile Ranking'!E173/3</f>
        <v>0.2393333333</v>
      </c>
      <c r="D194" s="7">
        <f>'Percentile Ranking'!F173*0.25+'Percentile Ranking'!G173*0.25+'Percentile Ranking'!H173*0.25+'Percentile Ranking'!I173*0.25</f>
        <v>0.30025</v>
      </c>
      <c r="E194" s="7">
        <f>'Percentile Ranking'!J173/3 + 'Percentile Ranking'!K173/3 + 'Percentile Ranking'!L173/3</f>
        <v>0.3133333333</v>
      </c>
      <c r="F194" s="7">
        <f>'Percentile Ranking'!M173/3 + 'Percentile Ranking'!N173/3 + 'Percentile Ranking'!O173/3</f>
        <v>0.1893333333</v>
      </c>
      <c r="G194" s="7">
        <f t="shared" si="1"/>
        <v>0.2605625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6" t="s">
        <v>199</v>
      </c>
      <c r="C195" s="7">
        <f>'Percentile Ranking'!C96/3+'Percentile Ranking'!D96/3+'Percentile Ranking'!E96/3</f>
        <v>0.04</v>
      </c>
      <c r="D195" s="7">
        <f>'Percentile Ranking'!F96*0.25+'Percentile Ranking'!G96*0.25+'Percentile Ranking'!H96*0.25+'Percentile Ranking'!I96*0.25</f>
        <v>0.2385</v>
      </c>
      <c r="E195" s="7">
        <f>'Percentile Ranking'!J96/3 + 'Percentile Ranking'!K96/3 + 'Percentile Ranking'!L96/3</f>
        <v>0.1226666667</v>
      </c>
      <c r="F195" s="7">
        <f>'Percentile Ranking'!M96/3 + 'Percentile Ranking'!N96/3 + 'Percentile Ranking'!O96/3</f>
        <v>0.6313333333</v>
      </c>
      <c r="G195" s="7">
        <f t="shared" si="1"/>
        <v>0.258125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6" t="s">
        <v>200</v>
      </c>
      <c r="C196" s="7">
        <f>'Percentile Ranking'!C69/3+'Percentile Ranking'!D69/3+'Percentile Ranking'!E69/3</f>
        <v>0.04866666667</v>
      </c>
      <c r="D196" s="7">
        <f>'Percentile Ranking'!F69*0.25+'Percentile Ranking'!G69*0.25+'Percentile Ranking'!H69*0.25+'Percentile Ranking'!I69*0.25</f>
        <v>0.074</v>
      </c>
      <c r="E196" s="7">
        <f>'Percentile Ranking'!J69/3 + 'Percentile Ranking'!K69/3 + 'Percentile Ranking'!L69/3</f>
        <v>0.464</v>
      </c>
      <c r="F196" s="7">
        <f>'Percentile Ranking'!M69/3 + 'Percentile Ranking'!N69/3 + 'Percentile Ranking'!O69/3</f>
        <v>0.3853333333</v>
      </c>
      <c r="G196" s="7">
        <f t="shared" si="1"/>
        <v>0.243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6" t="s">
        <v>201</v>
      </c>
      <c r="C197" s="7">
        <f>'Percentile Ranking'!C59/3+'Percentile Ranking'!D59/3+'Percentile Ranking'!E59/3</f>
        <v>0.1556666667</v>
      </c>
      <c r="D197" s="7">
        <f>'Percentile Ranking'!F59*0.25+'Percentile Ranking'!G59*0.25+'Percentile Ranking'!H59*0.25+'Percentile Ranking'!I59*0.25</f>
        <v>0.21375</v>
      </c>
      <c r="E197" s="7">
        <f>'Percentile Ranking'!J59/3 + 'Percentile Ranking'!K59/3 + 'Percentile Ranking'!L59/3</f>
        <v>0.367</v>
      </c>
      <c r="F197" s="7">
        <f>'Percentile Ranking'!M59/3 + 'Percentile Ranking'!N59/3 + 'Percentile Ranking'!O59/3</f>
        <v>0.2363333333</v>
      </c>
      <c r="G197" s="7">
        <f t="shared" si="1"/>
        <v>0.2431875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6" t="s">
        <v>202</v>
      </c>
      <c r="C198" s="7">
        <f>'Percentile Ranking'!C138/3+'Percentile Ranking'!D138/3+'Percentile Ranking'!E138/3</f>
        <v>0.04</v>
      </c>
      <c r="D198" s="7">
        <f>'Percentile Ranking'!F138*0.25+'Percentile Ranking'!G138*0.25+'Percentile Ranking'!H138*0.25+'Percentile Ranking'!I138*0.25</f>
        <v>0.10825</v>
      </c>
      <c r="E198" s="7">
        <f>'Percentile Ranking'!J138/3 + 'Percentile Ranking'!K138/3 + 'Percentile Ranking'!L138/3</f>
        <v>0.1876666667</v>
      </c>
      <c r="F198" s="7">
        <f>'Percentile Ranking'!M138/3 + 'Percentile Ranking'!N138/3 + 'Percentile Ranking'!O138/3</f>
        <v>0.603</v>
      </c>
      <c r="G198" s="7">
        <f t="shared" si="1"/>
        <v>0.2347291667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6" t="s">
        <v>203</v>
      </c>
      <c r="C199" s="7">
        <f>'Percentile Ranking'!C11/3+'Percentile Ranking'!D11/3+'Percentile Ranking'!E11/3</f>
        <v>0.196</v>
      </c>
      <c r="D199" s="7">
        <f>'Percentile Ranking'!F11*0.25+'Percentile Ranking'!G11*0.25+'Percentile Ranking'!H11*0.25+'Percentile Ranking'!I11*0.25</f>
        <v>0.28275</v>
      </c>
      <c r="E199" s="7">
        <f>'Percentile Ranking'!J11/3 + 'Percentile Ranking'!K11/3 + 'Percentile Ranking'!L11/3</f>
        <v>0.191</v>
      </c>
      <c r="F199" s="7">
        <f>'Percentile Ranking'!M11/3 + 'Percentile Ranking'!N11/3 + 'Percentile Ranking'!O11/3</f>
        <v>0.263</v>
      </c>
      <c r="G199" s="7">
        <f t="shared" si="1"/>
        <v>0.2331875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6" t="s">
        <v>204</v>
      </c>
      <c r="C200" s="7">
        <f>'Percentile Ranking'!C108/3+'Percentile Ranking'!D108/3+'Percentile Ranking'!E108/3</f>
        <v>0.092</v>
      </c>
      <c r="D200" s="7">
        <f>'Percentile Ranking'!F108*0.25+'Percentile Ranking'!G108*0.25+'Percentile Ranking'!H108*0.25+'Percentile Ranking'!I108*0.25</f>
        <v>0.16975</v>
      </c>
      <c r="E200" s="7">
        <f>'Percentile Ranking'!J108/3 + 'Percentile Ranking'!K108/3 + 'Percentile Ranking'!L108/3</f>
        <v>0.343</v>
      </c>
      <c r="F200" s="7">
        <f>'Percentile Ranking'!M108/3 + 'Percentile Ranking'!N108/3 + 'Percentile Ranking'!O108/3</f>
        <v>0.2983333333</v>
      </c>
      <c r="G200" s="7">
        <f t="shared" si="1"/>
        <v>0.2257708333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6" t="s">
        <v>205</v>
      </c>
      <c r="C201" s="7">
        <f>'Percentile Ranking'!C30/3+'Percentile Ranking'!D30/3+'Percentile Ranking'!E30/3</f>
        <v>0.04</v>
      </c>
      <c r="D201" s="7">
        <f>'Percentile Ranking'!F30*0.25+'Percentile Ranking'!G30*0.25+'Percentile Ranking'!H30*0.25+'Percentile Ranking'!I30*0.25</f>
        <v>0.21375</v>
      </c>
      <c r="E201" s="7">
        <f>'Percentile Ranking'!J30/3 + 'Percentile Ranking'!K30/3 + 'Percentile Ranking'!L30/3</f>
        <v>0.1226666667</v>
      </c>
      <c r="F201" s="7">
        <f>'Percentile Ranking'!M30/3 + 'Percentile Ranking'!N30/3 + 'Percentile Ranking'!O30/3</f>
        <v>0.3953333333</v>
      </c>
      <c r="G201" s="7">
        <f t="shared" si="1"/>
        <v>0.1929375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6" t="s">
        <v>206</v>
      </c>
      <c r="C202" s="7">
        <f>'Percentile Ranking'!C107/3+'Percentile Ranking'!D107/3+'Percentile Ranking'!E107/3</f>
        <v>0.04</v>
      </c>
      <c r="D202" s="7">
        <f>'Percentile Ranking'!F107*0.25+'Percentile Ranking'!G107*0.25+'Percentile Ranking'!H107*0.25+'Percentile Ranking'!I107*0.25</f>
        <v>0.109</v>
      </c>
      <c r="E202" s="7">
        <f>'Percentile Ranking'!J107/3 + 'Percentile Ranking'!K107/3 + 'Percentile Ranking'!L107/3</f>
        <v>0.392</v>
      </c>
      <c r="F202" s="7">
        <f>'Percentile Ranking'!M107/3 + 'Percentile Ranking'!N107/3 + 'Percentile Ranking'!O107/3</f>
        <v>0.2056666667</v>
      </c>
      <c r="G202" s="7">
        <f t="shared" si="1"/>
        <v>0.1866666667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6" t="s">
        <v>207</v>
      </c>
      <c r="C203" s="7">
        <f>'Percentile Ranking'!C10/3+'Percentile Ranking'!D10/3+'Percentile Ranking'!E10/3</f>
        <v>0.04</v>
      </c>
      <c r="D203" s="7">
        <f>'Percentile Ranking'!F10*0.25+'Percentile Ranking'!G10*0.25+'Percentile Ranking'!H10*0.25+'Percentile Ranking'!I10*0.25</f>
        <v>0.08025</v>
      </c>
      <c r="E203" s="7">
        <f>'Percentile Ranking'!J10/3 + 'Percentile Ranking'!K10/3 + 'Percentile Ranking'!L10/3</f>
        <v>0.07033333333</v>
      </c>
      <c r="F203" s="7">
        <f>'Percentile Ranking'!M10/3 + 'Percentile Ranking'!N10/3 + 'Percentile Ranking'!O10/3</f>
        <v>0.07166666667</v>
      </c>
      <c r="G203" s="7">
        <f t="shared" si="1"/>
        <v>0.0655625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14"/>
    <col customWidth="1" min="4" max="4" width="18.0"/>
    <col customWidth="1" min="5" max="5" width="20.14"/>
    <col customWidth="1" min="6" max="6" width="16.71"/>
    <col customWidth="1" min="7" max="7" width="15.57"/>
    <col customWidth="1" min="8" max="8" width="15.71"/>
    <col customWidth="1" min="9" max="9" width="31.14"/>
    <col customWidth="1" min="10" max="10" width="24.29"/>
    <col customWidth="1" min="11" max="11" width="25.14"/>
    <col customWidth="1" min="12" max="12" width="32.14"/>
    <col customWidth="1" min="13" max="13" width="24.29"/>
    <col customWidth="1" min="14" max="14" width="18.29"/>
    <col customWidth="1" min="15" max="15" width="18.0"/>
    <col customWidth="1" min="1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8" t="s">
        <v>208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0"/>
      <c r="C3" s="11" t="s">
        <v>209</v>
      </c>
      <c r="D3" s="9"/>
      <c r="E3" s="9"/>
      <c r="F3" s="12" t="s">
        <v>210</v>
      </c>
      <c r="G3" s="9"/>
      <c r="H3" s="9"/>
      <c r="I3" s="9"/>
      <c r="J3" s="12" t="s">
        <v>211</v>
      </c>
      <c r="K3" s="9"/>
      <c r="L3" s="9"/>
      <c r="M3" s="12" t="s">
        <v>212</v>
      </c>
      <c r="N3" s="9"/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1</v>
      </c>
      <c r="B4" s="4" t="s">
        <v>2</v>
      </c>
      <c r="C4" s="4" t="s">
        <v>213</v>
      </c>
      <c r="D4" s="4" t="s">
        <v>214</v>
      </c>
      <c r="E4" s="4" t="s">
        <v>215</v>
      </c>
      <c r="F4" s="4" t="s">
        <v>216</v>
      </c>
      <c r="G4" s="4" t="s">
        <v>217</v>
      </c>
      <c r="H4" s="4" t="s">
        <v>218</v>
      </c>
      <c r="I4" s="4" t="s">
        <v>219</v>
      </c>
      <c r="J4" s="4" t="s">
        <v>220</v>
      </c>
      <c r="K4" s="4" t="s">
        <v>221</v>
      </c>
      <c r="L4" s="4" t="s">
        <v>222</v>
      </c>
      <c r="M4" s="4" t="s">
        <v>223</v>
      </c>
      <c r="N4" s="4" t="s">
        <v>224</v>
      </c>
      <c r="O4" s="4" t="s">
        <v>225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115</v>
      </c>
      <c r="C5" s="7">
        <v>0.05815768093843077</v>
      </c>
      <c r="D5" s="7">
        <v>0.13129225003259415</v>
      </c>
      <c r="E5" s="7">
        <v>0.12458284219993887</v>
      </c>
      <c r="F5" s="7">
        <v>0.14439771452056588</v>
      </c>
      <c r="G5" s="7">
        <v>0.14455583773607616</v>
      </c>
      <c r="H5" s="7">
        <v>0.09875904457714041</v>
      </c>
      <c r="I5" s="13">
        <v>0.21</v>
      </c>
      <c r="J5" s="13">
        <v>0.28651511449489986</v>
      </c>
      <c r="K5" s="13">
        <v>0.46999192775208776</v>
      </c>
      <c r="L5" s="13">
        <v>10.14170318311065</v>
      </c>
      <c r="M5" s="13">
        <v>68.30523040277951</v>
      </c>
      <c r="N5" s="13">
        <v>-2.013239604512619</v>
      </c>
      <c r="O5" s="13">
        <v>6.746171190442812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100</v>
      </c>
      <c r="C6" s="7">
        <v>0.04124424635627899</v>
      </c>
      <c r="D6" s="7">
        <v>0.12149797758654945</v>
      </c>
      <c r="E6" s="7">
        <v>0.20095706564657756</v>
      </c>
      <c r="F6" s="7">
        <v>0.19998138278136127</v>
      </c>
      <c r="G6" s="7">
        <v>0.14583464514921918</v>
      </c>
      <c r="H6" s="7">
        <v>0.07307013999458412</v>
      </c>
      <c r="I6" s="13">
        <v>1.04</v>
      </c>
      <c r="J6" s="13">
        <v>0.04492061449512244</v>
      </c>
      <c r="K6" s="13">
        <v>0.2987447365826577</v>
      </c>
      <c r="L6" s="13">
        <v>52.27378149342842</v>
      </c>
      <c r="M6" s="13">
        <v>61.0114903862795</v>
      </c>
      <c r="N6" s="13">
        <v>1.5438650419318671</v>
      </c>
      <c r="O6" s="13">
        <v>20.701384727365237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 t="s">
        <v>45</v>
      </c>
      <c r="C7" s="7">
        <v>0.06350892749865578</v>
      </c>
      <c r="D7" s="7">
        <v>0.07187194085893123</v>
      </c>
      <c r="E7" s="7">
        <v>0.1514966515824363</v>
      </c>
      <c r="F7" s="7">
        <v>0.1475841407755319</v>
      </c>
      <c r="G7" s="7">
        <v>0.11099816044853339</v>
      </c>
      <c r="H7" s="7">
        <v>0.07566068318120354</v>
      </c>
      <c r="I7" s="13">
        <v>0.89</v>
      </c>
      <c r="J7" s="13">
        <v>0.012001137984825124</v>
      </c>
      <c r="K7" s="13">
        <v>0.06870299916179284</v>
      </c>
      <c r="L7" s="13">
        <v>23.11222247120955</v>
      </c>
      <c r="M7" s="13">
        <v>11.735329105068942</v>
      </c>
      <c r="N7" s="13">
        <v>1.064330583042</v>
      </c>
      <c r="O7" s="13">
        <v>1.9967766829603093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" t="s">
        <v>178</v>
      </c>
      <c r="C8" s="7">
        <v>0.21585966403323842</v>
      </c>
      <c r="D8" s="7">
        <v>-0.030365028075527767</v>
      </c>
      <c r="E8" s="7">
        <v>0.0</v>
      </c>
      <c r="F8" s="7">
        <v>0.05935446147264277</v>
      </c>
      <c r="G8" s="7">
        <v>0.009519706764994734</v>
      </c>
      <c r="H8" s="7">
        <v>0.0073652367548720276</v>
      </c>
      <c r="I8" s="13">
        <v>0.36</v>
      </c>
      <c r="J8" s="13">
        <v>1.55602728215939</v>
      </c>
      <c r="K8" s="13">
        <v>-672.6519473819085</v>
      </c>
      <c r="L8" s="13">
        <v>1.380839459360904</v>
      </c>
      <c r="M8" s="13">
        <v>2295.9320847911185</v>
      </c>
      <c r="N8" s="13">
        <v>-47.4032124555069</v>
      </c>
      <c r="O8" s="13">
        <v>5.317761464294471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 t="s">
        <v>125</v>
      </c>
      <c r="C9" s="7">
        <v>0.12709605160712267</v>
      </c>
      <c r="D9" s="7">
        <v>0.24349411073483918</v>
      </c>
      <c r="E9" s="7">
        <v>0.2778969312141082</v>
      </c>
      <c r="F9" s="7">
        <v>0.16501569088108858</v>
      </c>
      <c r="G9" s="7">
        <v>0.13172668848936528</v>
      </c>
      <c r="H9" s="7">
        <v>0.04455217398540601</v>
      </c>
      <c r="I9" s="13">
        <v>0.55</v>
      </c>
      <c r="J9" s="13">
        <v>0.8792781304242473</v>
      </c>
      <c r="K9" s="13">
        <v>5.0673073470228465</v>
      </c>
      <c r="L9" s="13">
        <v>3.635760899514481</v>
      </c>
      <c r="M9" s="13">
        <v>107.55819448675275</v>
      </c>
      <c r="N9" s="13">
        <v>0.40319269855212714</v>
      </c>
      <c r="O9" s="13">
        <v>10.01126398887744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207</v>
      </c>
      <c r="C10" s="7">
        <v>0.0</v>
      </c>
      <c r="D10" s="7">
        <v>0.0</v>
      </c>
      <c r="E10" s="7">
        <v>0.0</v>
      </c>
      <c r="F10" s="7">
        <v>0.04422917967457269</v>
      </c>
      <c r="G10" s="7">
        <v>0.0048191002117636385</v>
      </c>
      <c r="H10" s="7">
        <v>-8.331302769343089E-4</v>
      </c>
      <c r="I10" s="13">
        <v>0.11</v>
      </c>
      <c r="J10" s="13">
        <v>2.5106129481529655</v>
      </c>
      <c r="K10" s="13">
        <v>41.54331185248384</v>
      </c>
      <c r="L10" s="13">
        <v>0.9100501557883861</v>
      </c>
      <c r="M10" s="13">
        <v>110.47046254071661</v>
      </c>
      <c r="N10" s="13">
        <v>11.615885626911304</v>
      </c>
      <c r="O10" s="13">
        <v>18.29836337067706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203</v>
      </c>
      <c r="C11" s="7">
        <v>0.05527352360486937</v>
      </c>
      <c r="D11" s="7">
        <v>0.048471620327579235</v>
      </c>
      <c r="E11" s="7">
        <v>-0.018595553184611258</v>
      </c>
      <c r="F11" s="7">
        <v>0.08783968593599421</v>
      </c>
      <c r="G11" s="7">
        <v>0.08474658804429547</v>
      </c>
      <c r="H11" s="7">
        <v>0.03434963656093898</v>
      </c>
      <c r="I11" s="13">
        <v>0.24</v>
      </c>
      <c r="J11" s="13">
        <v>1.4684249853296092</v>
      </c>
      <c r="K11" s="13">
        <v>10.18666760246755</v>
      </c>
      <c r="L11" s="13">
        <v>2.2834278458084833</v>
      </c>
      <c r="M11" s="13">
        <v>57.56543897583292</v>
      </c>
      <c r="N11" s="13">
        <v>2.51499849564736</v>
      </c>
      <c r="O11" s="13">
        <v>8.441642649535549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53</v>
      </c>
      <c r="C12" s="7">
        <v>0.14594228682858934</v>
      </c>
      <c r="D12" s="7">
        <v>0.18677755851574962</v>
      </c>
      <c r="E12" s="7">
        <v>0.6137062848056494</v>
      </c>
      <c r="F12" s="7">
        <v>0.1035610849440264</v>
      </c>
      <c r="G12" s="7">
        <v>-0.005488892535656018</v>
      </c>
      <c r="H12" s="7">
        <v>0.035233390754931</v>
      </c>
      <c r="I12" s="13">
        <v>0.55</v>
      </c>
      <c r="J12" s="13">
        <v>1.4721055282683249</v>
      </c>
      <c r="K12" s="13">
        <v>-93.98363290848212</v>
      </c>
      <c r="L12" s="13">
        <v>2.144106356283542</v>
      </c>
      <c r="M12" s="13">
        <v>11.618199739478221</v>
      </c>
      <c r="N12" s="13">
        <v>-0.4132770284282636</v>
      </c>
      <c r="O12" s="13">
        <v>4.229028038517978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50</v>
      </c>
      <c r="C13" s="7">
        <v>0.16016357505145407</v>
      </c>
      <c r="D13" s="7">
        <v>0.18529723209623739</v>
      </c>
      <c r="E13" s="7">
        <v>0.23040591196918747</v>
      </c>
      <c r="F13" s="7">
        <v>0.21608011728535922</v>
      </c>
      <c r="G13" s="7">
        <v>0.1967039883742475</v>
      </c>
      <c r="H13" s="7">
        <v>0.10510485387684251</v>
      </c>
      <c r="I13" s="13">
        <v>0.7</v>
      </c>
      <c r="J13" s="13">
        <v>0.5307688659433204</v>
      </c>
      <c r="K13" s="13">
        <v>1.5530746996446168</v>
      </c>
      <c r="L13" s="13">
        <v>9.561811392210453</v>
      </c>
      <c r="M13" s="13">
        <v>59.49274689322181</v>
      </c>
      <c r="N13" s="13">
        <v>-131.48324210491893</v>
      </c>
      <c r="O13" s="13">
        <v>15.835614749397868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134</v>
      </c>
      <c r="C14" s="7">
        <v>1.149257081464424</v>
      </c>
      <c r="D14" s="7">
        <v>1.5005677695020743</v>
      </c>
      <c r="E14" s="7">
        <v>0.0</v>
      </c>
      <c r="F14" s="7">
        <v>0.030366537186007084</v>
      </c>
      <c r="G14" s="7">
        <v>0.03497694888192875</v>
      </c>
      <c r="H14" s="7">
        <v>0.012094898264845586</v>
      </c>
      <c r="I14" s="13">
        <v>0.16</v>
      </c>
      <c r="J14" s="13">
        <v>1.002757830511623</v>
      </c>
      <c r="K14" s="13">
        <v>15.902936394171965</v>
      </c>
      <c r="L14" s="13">
        <v>738.6648700720581</v>
      </c>
      <c r="M14" s="13">
        <v>13.163098770257525</v>
      </c>
      <c r="N14" s="13">
        <v>33.89166292651395</v>
      </c>
      <c r="O14" s="13">
        <v>1.9150765431275512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69</v>
      </c>
      <c r="C15" s="7">
        <v>0.08464480468687108</v>
      </c>
      <c r="D15" s="7">
        <v>0.11422070835263431</v>
      </c>
      <c r="E15" s="7">
        <v>0.1253531831750434</v>
      </c>
      <c r="F15" s="7">
        <v>0.1776867326521886</v>
      </c>
      <c r="G15" s="7">
        <v>0.17383133642673954</v>
      </c>
      <c r="H15" s="7">
        <v>0.1262891641469648</v>
      </c>
      <c r="I15" s="13">
        <v>0.78</v>
      </c>
      <c r="J15" s="13">
        <v>0.13127625747870314</v>
      </c>
      <c r="K15" s="13">
        <v>0.6472487421267925</v>
      </c>
      <c r="L15" s="13">
        <v>33.87336118982292</v>
      </c>
      <c r="M15" s="13">
        <v>26.791453482979314</v>
      </c>
      <c r="N15" s="13">
        <v>0.8379119158596213</v>
      </c>
      <c r="O15" s="13">
        <v>4.738349092626664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 t="s">
        <v>99</v>
      </c>
      <c r="C16" s="7">
        <v>0.07524870228580371</v>
      </c>
      <c r="D16" s="7">
        <v>0.06652269849722203</v>
      </c>
      <c r="E16" s="7">
        <v>0.1661191728644309</v>
      </c>
      <c r="F16" s="7">
        <v>0.09378806790005914</v>
      </c>
      <c r="G16" s="7">
        <v>0.07357539601912236</v>
      </c>
      <c r="H16" s="7">
        <v>0.0600281163552197</v>
      </c>
      <c r="I16" s="13">
        <v>0.48</v>
      </c>
      <c r="J16" s="13">
        <v>0.01092486398134693</v>
      </c>
      <c r="K16" s="13">
        <v>0.1021813658550607</v>
      </c>
      <c r="L16" s="13">
        <v>24.957476283530262</v>
      </c>
      <c r="M16" s="13">
        <v>43.41351618853634</v>
      </c>
      <c r="N16" s="13">
        <v>0.811750087020552</v>
      </c>
      <c r="O16" s="13">
        <v>2.728098245780069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56</v>
      </c>
      <c r="C17" s="7">
        <v>0.1715040164119659</v>
      </c>
      <c r="D17" s="7">
        <v>0.16912351116685653</v>
      </c>
      <c r="E17" s="7">
        <v>0.2696486307467685</v>
      </c>
      <c r="F17" s="7">
        <v>0.17490804998583942</v>
      </c>
      <c r="G17" s="7">
        <v>0.13895078934301325</v>
      </c>
      <c r="H17" s="7">
        <v>0.07274975944455125</v>
      </c>
      <c r="I17" s="13">
        <v>2.8</v>
      </c>
      <c r="J17" s="13">
        <v>0.3844996314214646</v>
      </c>
      <c r="K17" s="13">
        <v>1.5788314071291194</v>
      </c>
      <c r="L17" s="13">
        <v>7.376920299977221</v>
      </c>
      <c r="M17" s="13">
        <v>78.69120989798941</v>
      </c>
      <c r="N17" s="13">
        <v>-4.844510741090392</v>
      </c>
      <c r="O17" s="13">
        <v>13.711744610958851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 t="s">
        <v>169</v>
      </c>
      <c r="C18" s="7">
        <v>0.04033609043048236</v>
      </c>
      <c r="D18" s="7">
        <v>0.106142262724229</v>
      </c>
      <c r="E18" s="7">
        <v>0.14525555591752637</v>
      </c>
      <c r="F18" s="7">
        <v>0.12016537854855451</v>
      </c>
      <c r="G18" s="7">
        <v>0.10042638788283825</v>
      </c>
      <c r="H18" s="7">
        <v>0.056166433180580816</v>
      </c>
      <c r="I18" s="13">
        <v>1.17</v>
      </c>
      <c r="J18" s="13">
        <v>0.5976113886247029</v>
      </c>
      <c r="K18" s="13">
        <v>2.614121791214628</v>
      </c>
      <c r="L18" s="13">
        <v>4.082295318779382</v>
      </c>
      <c r="M18" s="13">
        <v>47.629862920142436</v>
      </c>
      <c r="N18" s="13">
        <v>2.5949923588301855</v>
      </c>
      <c r="O18" s="13">
        <v>10.892921618465346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84</v>
      </c>
      <c r="C19" s="7">
        <v>0.07423286628846082</v>
      </c>
      <c r="D19" s="7">
        <v>0.0724177088924316</v>
      </c>
      <c r="E19" s="7">
        <v>0.23831968124459557</v>
      </c>
      <c r="F19" s="7">
        <v>0.19963310588465005</v>
      </c>
      <c r="G19" s="7">
        <v>0.16492290671469528</v>
      </c>
      <c r="H19" s="7">
        <v>0.06896076842756932</v>
      </c>
      <c r="I19" s="13">
        <v>0.57</v>
      </c>
      <c r="J19" s="13">
        <v>0.3164471974608817</v>
      </c>
      <c r="K19" s="13">
        <v>1.880065215504188</v>
      </c>
      <c r="L19" s="13">
        <v>12.833470502725106</v>
      </c>
      <c r="M19" s="13">
        <v>11.914669753537137</v>
      </c>
      <c r="N19" s="13">
        <v>0.693621978516784</v>
      </c>
      <c r="O19" s="13">
        <v>5.206295461589281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32</v>
      </c>
      <c r="C20" s="7">
        <v>0.0958723190868025</v>
      </c>
      <c r="D20" s="7">
        <v>0.0868063958390417</v>
      </c>
      <c r="E20" s="7">
        <v>0.08248202818357164</v>
      </c>
      <c r="F20" s="7">
        <v>0.33521308778684855</v>
      </c>
      <c r="G20" s="7">
        <v>0.24984351616291964</v>
      </c>
      <c r="H20" s="7">
        <v>0.17114287283075003</v>
      </c>
      <c r="I20" s="13">
        <v>1.13</v>
      </c>
      <c r="J20" s="13">
        <v>0.049344504914249604</v>
      </c>
      <c r="K20" s="13">
        <v>0.1351667437762176</v>
      </c>
      <c r="L20" s="13">
        <v>66.38757521351839</v>
      </c>
      <c r="M20" s="13">
        <v>40.61605106370716</v>
      </c>
      <c r="N20" s="13">
        <v>-1.9239614885210363</v>
      </c>
      <c r="O20" s="13">
        <v>11.826869888977154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 t="s">
        <v>41</v>
      </c>
      <c r="C21" s="7">
        <v>0.14921717282459146</v>
      </c>
      <c r="D21" s="7">
        <v>0.1889471572602348</v>
      </c>
      <c r="E21" s="7">
        <v>0.2276304793080064</v>
      </c>
      <c r="F21" s="7">
        <v>0.21782279723886916</v>
      </c>
      <c r="G21" s="7">
        <v>0.1585592059296738</v>
      </c>
      <c r="H21" s="7">
        <v>0.11265829147567016</v>
      </c>
      <c r="I21" s="13">
        <v>1.22</v>
      </c>
      <c r="J21" s="13">
        <v>0.0747754543571305</v>
      </c>
      <c r="K21" s="13">
        <v>0.2874977111682917</v>
      </c>
      <c r="L21" s="13">
        <v>27.346669872554404</v>
      </c>
      <c r="M21" s="13">
        <v>36.59732685946004</v>
      </c>
      <c r="N21" s="13">
        <v>21.249999358075307</v>
      </c>
      <c r="O21" s="13">
        <v>9.667822181433895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 t="s">
        <v>108</v>
      </c>
      <c r="C22" s="7">
        <v>0.31865967932919537</v>
      </c>
      <c r="D22" s="7">
        <v>0.2808335049009467</v>
      </c>
      <c r="E22" s="7">
        <v>0.2583131120753879</v>
      </c>
      <c r="F22" s="7">
        <v>0.08364150490618906</v>
      </c>
      <c r="G22" s="7">
        <v>0.16981520992424087</v>
      </c>
      <c r="H22" s="7">
        <v>0.023277880113073197</v>
      </c>
      <c r="I22" s="13">
        <v>0.12</v>
      </c>
      <c r="J22" s="13">
        <v>7.160610720025158</v>
      </c>
      <c r="K22" s="13">
        <v>15.040782431336375</v>
      </c>
      <c r="L22" s="13">
        <v>1.6556504636034672</v>
      </c>
      <c r="M22" s="13">
        <v>19.549899036560316</v>
      </c>
      <c r="N22" s="13">
        <v>0.8097257724079638</v>
      </c>
      <c r="O22" s="13">
        <v>2.3185539799222785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 t="s">
        <v>116</v>
      </c>
      <c r="C23" s="7">
        <v>0.01787877496786705</v>
      </c>
      <c r="D23" s="7">
        <v>0.004189039426455432</v>
      </c>
      <c r="E23" s="7">
        <v>0.007148065835325346</v>
      </c>
      <c r="F23" s="7">
        <v>0.13991447080967645</v>
      </c>
      <c r="G23" s="7">
        <v>0.13286072493237547</v>
      </c>
      <c r="H23" s="7">
        <v>0.09090427679353182</v>
      </c>
      <c r="I23" s="13">
        <v>0.67</v>
      </c>
      <c r="J23" s="13">
        <v>0.26560768186175976</v>
      </c>
      <c r="K23" s="13">
        <v>1.5223456619604019</v>
      </c>
      <c r="L23" s="13">
        <v>44.50325353242413</v>
      </c>
      <c r="M23" s="13">
        <v>28.2854174079302</v>
      </c>
      <c r="N23" s="13">
        <v>-3.6684244609168086</v>
      </c>
      <c r="O23" s="13">
        <v>3.311256002816777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 t="s">
        <v>44</v>
      </c>
      <c r="C24" s="7">
        <v>0.2102101810212118</v>
      </c>
      <c r="D24" s="7">
        <v>0.21327445766993813</v>
      </c>
      <c r="E24" s="7">
        <v>0.2485746812587606</v>
      </c>
      <c r="F24" s="7">
        <v>0.18228852716885324</v>
      </c>
      <c r="G24" s="7">
        <v>0.13561337322513006</v>
      </c>
      <c r="H24" s="7">
        <v>0.11572313959632259</v>
      </c>
      <c r="I24" s="13">
        <v>2.61</v>
      </c>
      <c r="J24" s="13">
        <v>0.08508486897915218</v>
      </c>
      <c r="K24" s="13">
        <v>0.3489617089785753</v>
      </c>
      <c r="L24" s="13">
        <v>45.58959766820458</v>
      </c>
      <c r="M24" s="13">
        <v>58.55242964162789</v>
      </c>
      <c r="N24" s="13">
        <v>10.53182140897038</v>
      </c>
      <c r="O24" s="13">
        <v>11.951947465988788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 t="s">
        <v>180</v>
      </c>
      <c r="C25" s="7">
        <v>0.11586232251978501</v>
      </c>
      <c r="D25" s="7">
        <v>0.11097196510655638</v>
      </c>
      <c r="E25" s="7">
        <v>0.12359611593258513</v>
      </c>
      <c r="F25" s="7">
        <v>0.05200731126574096</v>
      </c>
      <c r="G25" s="7">
        <v>0.08058495578481768</v>
      </c>
      <c r="H25" s="7">
        <v>0.008041603408564761</v>
      </c>
      <c r="I25" s="13">
        <v>0.08</v>
      </c>
      <c r="J25" s="13">
        <v>8.952848695315405</v>
      </c>
      <c r="K25" s="13">
        <v>24.785688768462833</v>
      </c>
      <c r="L25" s="13">
        <v>1.3085062562829453</v>
      </c>
      <c r="M25" s="13">
        <v>20.638413466083776</v>
      </c>
      <c r="N25" s="13">
        <v>2.2657988789906103</v>
      </c>
      <c r="O25" s="13">
        <v>1.8991973965575875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 t="s">
        <v>33</v>
      </c>
      <c r="C26" s="7">
        <v>0.08279364698906999</v>
      </c>
      <c r="D26" s="7">
        <v>0.07732656440073238</v>
      </c>
      <c r="E26" s="7">
        <v>0.07569145550751966</v>
      </c>
      <c r="F26" s="7">
        <v>0.3038482654379545</v>
      </c>
      <c r="G26" s="7">
        <v>0.22809997346742847</v>
      </c>
      <c r="H26" s="7">
        <v>0.18046994215684783</v>
      </c>
      <c r="I26" s="13">
        <v>1.09</v>
      </c>
      <c r="J26" s="13">
        <v>0.011906325566221615</v>
      </c>
      <c r="K26" s="13">
        <v>0.040915323145454374</v>
      </c>
      <c r="L26" s="13">
        <v>1554.4779523571576</v>
      </c>
      <c r="M26" s="13">
        <v>21.756414394836842</v>
      </c>
      <c r="N26" s="13">
        <v>3.014699931146943</v>
      </c>
      <c r="O26" s="13">
        <v>6.8453258848276075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 t="s">
        <v>109</v>
      </c>
      <c r="C27" s="7">
        <v>0.2384550576104385</v>
      </c>
      <c r="D27" s="7">
        <v>0.2360726575521317</v>
      </c>
      <c r="E27" s="7">
        <v>0.29270865680959934</v>
      </c>
      <c r="F27" s="7">
        <v>0.1070056690882692</v>
      </c>
      <c r="G27" s="7">
        <v>0.1696096092169879</v>
      </c>
      <c r="H27" s="7">
        <v>0.0369167426053156</v>
      </c>
      <c r="I27" s="13">
        <v>0.17</v>
      </c>
      <c r="J27" s="13">
        <v>3.541582397041916</v>
      </c>
      <c r="K27" s="13">
        <v>7.127872966658013</v>
      </c>
      <c r="L27" s="13">
        <v>2.0098344319913366</v>
      </c>
      <c r="M27" s="13">
        <v>19.88345456272097</v>
      </c>
      <c r="N27" s="13">
        <v>1.067324405953292</v>
      </c>
      <c r="O27" s="13">
        <v>6.3173247332171085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 t="s">
        <v>101</v>
      </c>
      <c r="C28" s="7">
        <v>0.24872296828878016</v>
      </c>
      <c r="D28" s="7">
        <v>0.2660527516929976</v>
      </c>
      <c r="E28" s="7">
        <v>0.253220834483741</v>
      </c>
      <c r="F28" s="7">
        <v>0.1389343053698332</v>
      </c>
      <c r="G28" s="7">
        <v>0.112127566002182</v>
      </c>
      <c r="H28" s="7">
        <v>0.11033749190316312</v>
      </c>
      <c r="I28" s="13">
        <v>0.23</v>
      </c>
      <c r="J28" s="13">
        <v>0.0</v>
      </c>
      <c r="K28" s="13">
        <v>0.0</v>
      </c>
      <c r="L28" s="13">
        <v>0.0</v>
      </c>
      <c r="M28" s="13">
        <v>156.01464980090154</v>
      </c>
      <c r="N28" s="13">
        <v>6.2060866342057945</v>
      </c>
      <c r="O28" s="13">
        <v>38.28449424204092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128</v>
      </c>
      <c r="C29" s="7">
        <v>0.012113114720725848</v>
      </c>
      <c r="D29" s="7">
        <v>0.004450404425101473</v>
      </c>
      <c r="E29" s="7">
        <v>0.0016655277624069154</v>
      </c>
      <c r="F29" s="7">
        <v>0.1032178242181408</v>
      </c>
      <c r="G29" s="7">
        <v>0.09378339168625341</v>
      </c>
      <c r="H29" s="7">
        <v>0.09123293184447677</v>
      </c>
      <c r="I29" s="13">
        <v>0.01</v>
      </c>
      <c r="J29" s="13">
        <v>0.007273214994771979</v>
      </c>
      <c r="K29" s="13">
        <v>0.10665456888711637</v>
      </c>
      <c r="L29" s="13">
        <v>566.7174469869752</v>
      </c>
      <c r="M29" s="13">
        <v>97.81041685756777</v>
      </c>
      <c r="N29" s="13">
        <v>-1.9397916678753964</v>
      </c>
      <c r="O29" s="13">
        <v>7.166280705431246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 t="s">
        <v>205</v>
      </c>
      <c r="C30" s="7">
        <v>0.0</v>
      </c>
      <c r="D30" s="7">
        <v>0.0</v>
      </c>
      <c r="E30" s="7">
        <v>0.0</v>
      </c>
      <c r="F30" s="7">
        <v>0.07496458846692595</v>
      </c>
      <c r="G30" s="7">
        <v>0.10425531478329864</v>
      </c>
      <c r="H30" s="7">
        <v>0.01694553638628526</v>
      </c>
      <c r="I30" s="13">
        <v>0.1</v>
      </c>
      <c r="J30" s="13">
        <v>5.143269669254049</v>
      </c>
      <c r="K30" s="13">
        <v>11.19303864535289</v>
      </c>
      <c r="L30" s="13">
        <v>1.426666972843436</v>
      </c>
      <c r="M30" s="13">
        <v>20.99902728128582</v>
      </c>
      <c r="N30" s="13">
        <v>68.41385491907154</v>
      </c>
      <c r="O30" s="13">
        <v>5.1475497272745505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181</v>
      </c>
      <c r="C31" s="7">
        <v>0.10670290874736477</v>
      </c>
      <c r="D31" s="7">
        <v>0.15762526948450128</v>
      </c>
      <c r="E31" s="7">
        <v>0.0</v>
      </c>
      <c r="F31" s="7">
        <v>0.046113715954259775</v>
      </c>
      <c r="G31" s="7">
        <v>0.059439937112229106</v>
      </c>
      <c r="H31" s="7">
        <v>0.004214639812871383</v>
      </c>
      <c r="I31" s="13">
        <v>0.07</v>
      </c>
      <c r="J31" s="13">
        <v>13.727758634774595</v>
      </c>
      <c r="K31" s="13">
        <v>25.664758106126033</v>
      </c>
      <c r="L31" s="13">
        <v>1.165141130241524</v>
      </c>
      <c r="M31" s="13">
        <v>19.10439840805455</v>
      </c>
      <c r="N31" s="13">
        <v>0.5990066643724858</v>
      </c>
      <c r="O31" s="13">
        <v>0.8631105881672452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193</v>
      </c>
      <c r="C32" s="7">
        <v>0.05415748076050719</v>
      </c>
      <c r="D32" s="7">
        <v>0.10311504009967476</v>
      </c>
      <c r="E32" s="7">
        <v>0.0</v>
      </c>
      <c r="F32" s="7">
        <v>0.04168599556755878</v>
      </c>
      <c r="G32" s="7">
        <v>-0.002432899911275021</v>
      </c>
      <c r="H32" s="7">
        <v>2.8154487553012545E-4</v>
      </c>
      <c r="I32" s="13">
        <v>0.07</v>
      </c>
      <c r="J32" s="13">
        <v>13.470414651998592</v>
      </c>
      <c r="K32" s="13">
        <v>30.361377034833684</v>
      </c>
      <c r="L32" s="13">
        <v>1.0252715127801366</v>
      </c>
      <c r="M32" s="13">
        <v>18.60983291547175</v>
      </c>
      <c r="N32" s="13">
        <v>0.11520365651548575</v>
      </c>
      <c r="O32" s="13">
        <v>0.6204532944943503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 t="s">
        <v>126</v>
      </c>
      <c r="C33" s="7">
        <v>-0.019635794360420844</v>
      </c>
      <c r="D33" s="7">
        <v>-0.008448061526679096</v>
      </c>
      <c r="E33" s="7">
        <v>-0.0022337892545405413</v>
      </c>
      <c r="F33" s="7">
        <v>0.2530235133447966</v>
      </c>
      <c r="G33" s="7">
        <v>0.17515535198732737</v>
      </c>
      <c r="H33" s="7">
        <v>0.06386830470054397</v>
      </c>
      <c r="I33" s="13">
        <v>0.3</v>
      </c>
      <c r="J33" s="13">
        <v>0.0028616717149145612</v>
      </c>
      <c r="K33" s="13">
        <v>0.015317860599662926</v>
      </c>
      <c r="L33" s="13">
        <v>150.78677460455214</v>
      </c>
      <c r="M33" s="13">
        <v>90.42803347280332</v>
      </c>
      <c r="N33" s="13">
        <v>-8.3029225500521</v>
      </c>
      <c r="O33" s="13">
        <v>11.717812394766709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 t="s">
        <v>19</v>
      </c>
      <c r="C34" s="7">
        <v>0.1243463251153174</v>
      </c>
      <c r="D34" s="7">
        <v>0.1727924338659843</v>
      </c>
      <c r="E34" s="7">
        <v>0.14998368367186665</v>
      </c>
      <c r="F34" s="7">
        <v>0.2879859777528729</v>
      </c>
      <c r="G34" s="7">
        <v>0.21211959813951337</v>
      </c>
      <c r="H34" s="7">
        <v>0.08824524473904828</v>
      </c>
      <c r="I34" s="13">
        <v>0.59</v>
      </c>
      <c r="J34" s="13">
        <v>0.003992500356739721</v>
      </c>
      <c r="K34" s="13">
        <v>0.014405933951174106</v>
      </c>
      <c r="L34" s="13">
        <v>336.9074000893113</v>
      </c>
      <c r="M34" s="13">
        <v>31.154960857414654</v>
      </c>
      <c r="N34" s="13">
        <v>1.320208903709992</v>
      </c>
      <c r="O34" s="13">
        <v>11.181971359063606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6" t="s">
        <v>118</v>
      </c>
      <c r="C35" s="7">
        <v>0.07393144981451671</v>
      </c>
      <c r="D35" s="7">
        <v>0.06635413798167678</v>
      </c>
      <c r="E35" s="7">
        <v>0.0660308166143646</v>
      </c>
      <c r="F35" s="7">
        <v>0.13400518544492762</v>
      </c>
      <c r="G35" s="7">
        <v>0.13390401742131544</v>
      </c>
      <c r="H35" s="7">
        <v>0.07481871668286973</v>
      </c>
      <c r="I35" s="13">
        <v>0.77</v>
      </c>
      <c r="J35" s="13">
        <v>0.567517376812071</v>
      </c>
      <c r="K35" s="13">
        <v>2.5076209182380333</v>
      </c>
      <c r="L35" s="13">
        <v>10.283296927711335</v>
      </c>
      <c r="M35" s="13">
        <v>23.672531056520878</v>
      </c>
      <c r="N35" s="13">
        <v>-4.387750312111326</v>
      </c>
      <c r="O35" s="13">
        <v>5.0981106357286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190</v>
      </c>
      <c r="C36" s="7">
        <v>0.010743003596597855</v>
      </c>
      <c r="D36" s="7">
        <v>0.0</v>
      </c>
      <c r="E36" s="7">
        <v>0.0</v>
      </c>
      <c r="F36" s="7">
        <v>0.023312539881796296</v>
      </c>
      <c r="G36" s="7">
        <v>-3.631271860831047E-4</v>
      </c>
      <c r="H36" s="7">
        <v>-3.9614440443874646E-4</v>
      </c>
      <c r="I36" s="13">
        <v>0.44</v>
      </c>
      <c r="J36" s="13">
        <v>0.17378983533484563</v>
      </c>
      <c r="K36" s="13">
        <v>-1.074175279094727</v>
      </c>
      <c r="L36" s="13">
        <v>1.6763621711465535</v>
      </c>
      <c r="M36" s="13">
        <v>54.858988866020646</v>
      </c>
      <c r="N36" s="13">
        <v>1.508684661254791</v>
      </c>
      <c r="O36" s="13">
        <v>3.0009580810902396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47</v>
      </c>
      <c r="C37" s="7">
        <v>0.08855186996589737</v>
      </c>
      <c r="D37" s="7">
        <v>0.08617031590793278</v>
      </c>
      <c r="E37" s="7">
        <v>0.06523697003048867</v>
      </c>
      <c r="F37" s="7">
        <v>0.1917978268737712</v>
      </c>
      <c r="G37" s="7">
        <v>0.21176070751218584</v>
      </c>
      <c r="H37" s="7">
        <v>0.07678095268265528</v>
      </c>
      <c r="I37" s="13">
        <v>2.09</v>
      </c>
      <c r="J37" s="13">
        <v>0.7540237753364569</v>
      </c>
      <c r="K37" s="13">
        <v>2.656674375944031</v>
      </c>
      <c r="L37" s="13">
        <v>11.388085415476418</v>
      </c>
      <c r="M37" s="13">
        <v>5.68242663295771</v>
      </c>
      <c r="N37" s="13">
        <v>-0.18117873956338346</v>
      </c>
      <c r="O37" s="13">
        <v>1.4922687153633354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" t="s">
        <v>186</v>
      </c>
      <c r="C38" s="7">
        <v>0.06093394373735839</v>
      </c>
      <c r="D38" s="7">
        <v>0.09300371731736834</v>
      </c>
      <c r="E38" s="7">
        <v>0.11689019482896779</v>
      </c>
      <c r="F38" s="7">
        <v>0.011932957468481432</v>
      </c>
      <c r="G38" s="7">
        <v>-0.07037800633052857</v>
      </c>
      <c r="H38" s="7">
        <v>-0.02345681343837384</v>
      </c>
      <c r="I38" s="13">
        <v>0.37</v>
      </c>
      <c r="J38" s="13">
        <v>1.3116649743595188</v>
      </c>
      <c r="K38" s="13">
        <v>4.070619920227021</v>
      </c>
      <c r="L38" s="13">
        <v>0.22391812700041638</v>
      </c>
      <c r="M38" s="13">
        <v>21.06981822648899</v>
      </c>
      <c r="N38" s="13">
        <v>0.11451269086440154</v>
      </c>
      <c r="O38" s="13">
        <v>7.053409371652688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197</v>
      </c>
      <c r="C39" s="7">
        <v>0.0</v>
      </c>
      <c r="D39" s="7">
        <v>0.0</v>
      </c>
      <c r="E39" s="7">
        <v>0.0</v>
      </c>
      <c r="F39" s="7">
        <v>0.014242851565523174</v>
      </c>
      <c r="G39" s="7">
        <v>-0.08525917118802095</v>
      </c>
      <c r="H39" s="7">
        <v>-0.010461631953945965</v>
      </c>
      <c r="I39" s="13">
        <v>0.45</v>
      </c>
      <c r="J39" s="13">
        <v>1.970485069138465</v>
      </c>
      <c r="K39" s="13">
        <v>-0.40863216136585784</v>
      </c>
      <c r="L39" s="13">
        <v>0.3497200296708101</v>
      </c>
      <c r="M39" s="13">
        <v>19.180834842275807</v>
      </c>
      <c r="N39" s="13">
        <v>0.24986671802656768</v>
      </c>
      <c r="O39" s="13">
        <v>12.337957890123228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177</v>
      </c>
      <c r="C40" s="7">
        <v>-0.0026021603467568655</v>
      </c>
      <c r="D40" s="7">
        <v>-0.08312274653917073</v>
      </c>
      <c r="E40" s="7">
        <v>0.05154432696017541</v>
      </c>
      <c r="F40" s="7">
        <v>0.0749885815922312</v>
      </c>
      <c r="G40" s="7">
        <v>0.06815309676147843</v>
      </c>
      <c r="H40" s="7">
        <v>0.05799286403586676</v>
      </c>
      <c r="I40" s="13">
        <v>0.27</v>
      </c>
      <c r="J40" s="13">
        <v>0.06850638652248241</v>
      </c>
      <c r="K40" s="13">
        <v>9.042639904125492</v>
      </c>
      <c r="L40" s="13">
        <v>268.41663484731976</v>
      </c>
      <c r="M40" s="13">
        <v>246.4743195934503</v>
      </c>
      <c r="N40" s="13">
        <v>0.16392926940584254</v>
      </c>
      <c r="O40" s="13">
        <v>3.5597950435597516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" t="s">
        <v>124</v>
      </c>
      <c r="C41" s="7">
        <v>0.12363953688921203</v>
      </c>
      <c r="D41" s="7">
        <v>0.14534515645744617</v>
      </c>
      <c r="E41" s="7">
        <v>0.14345494293788774</v>
      </c>
      <c r="F41" s="7">
        <v>0.17869195550442163</v>
      </c>
      <c r="G41" s="7">
        <v>0.14797450004366575</v>
      </c>
      <c r="H41" s="7">
        <v>0.04520475590333065</v>
      </c>
      <c r="I41" s="13">
        <v>1.61</v>
      </c>
      <c r="J41" s="13">
        <v>0.3965512180127818</v>
      </c>
      <c r="K41" s="13">
        <v>1.531236849865985</v>
      </c>
      <c r="L41" s="13">
        <v>7.379749218269653</v>
      </c>
      <c r="M41" s="13">
        <v>59.65364666432295</v>
      </c>
      <c r="N41" s="13">
        <v>2.835585468192155</v>
      </c>
      <c r="O41" s="13">
        <v>15.387229033840118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60</v>
      </c>
      <c r="C42" s="7">
        <v>0.06427576591181738</v>
      </c>
      <c r="D42" s="7">
        <v>0.020901133866981336</v>
      </c>
      <c r="E42" s="7">
        <v>0.027736983545920246</v>
      </c>
      <c r="F42" s="7">
        <v>0.18670020632330153</v>
      </c>
      <c r="G42" s="7">
        <v>0.13610277524400144</v>
      </c>
      <c r="H42" s="7">
        <v>0.09585556999415071</v>
      </c>
      <c r="I42" s="13">
        <v>0.96</v>
      </c>
      <c r="J42" s="13">
        <v>0.00615350666773284</v>
      </c>
      <c r="K42" s="13">
        <v>0.0409138842680562</v>
      </c>
      <c r="L42" s="13">
        <v>162.0066445750544</v>
      </c>
      <c r="M42" s="13">
        <v>36.05144715763951</v>
      </c>
      <c r="N42" s="13">
        <v>-2.1686133314542864</v>
      </c>
      <c r="O42" s="13">
        <v>6.054367043719288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" t="s">
        <v>81</v>
      </c>
      <c r="C43" s="7">
        <v>0.0838442235448007</v>
      </c>
      <c r="D43" s="7">
        <v>0.10551705665655331</v>
      </c>
      <c r="E43" s="7">
        <v>0.10810915520711695</v>
      </c>
      <c r="F43" s="7">
        <v>0.48210287423986653</v>
      </c>
      <c r="G43" s="7">
        <v>0.47258178334507206</v>
      </c>
      <c r="H43" s="7">
        <v>0.22935477405740942</v>
      </c>
      <c r="I43" s="13">
        <v>2.0</v>
      </c>
      <c r="J43" s="13">
        <v>0.3846697384482708</v>
      </c>
      <c r="K43" s="13">
        <v>0.5030629089415206</v>
      </c>
      <c r="L43" s="13">
        <v>353.50404362033896</v>
      </c>
      <c r="M43" s="13">
        <v>39.18266153118016</v>
      </c>
      <c r="N43" s="13">
        <v>23.877813542458043</v>
      </c>
      <c r="O43" s="13">
        <v>30.600383630726476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" t="s">
        <v>29</v>
      </c>
      <c r="C44" s="7">
        <v>0.1928102165863168</v>
      </c>
      <c r="D44" s="7">
        <v>0.21639475168028355</v>
      </c>
      <c r="E44" s="7">
        <v>0.23676909751115627</v>
      </c>
      <c r="F44" s="7">
        <v>0.16198582875569326</v>
      </c>
      <c r="G44" s="7">
        <v>0.1341002383006094</v>
      </c>
      <c r="H44" s="7">
        <v>0.10046238411757955</v>
      </c>
      <c r="I44" s="13">
        <v>0.32</v>
      </c>
      <c r="J44" s="13">
        <v>2.7579166615212993E-4</v>
      </c>
      <c r="K44" s="13">
        <v>0.00307283067327096</v>
      </c>
      <c r="L44" s="13">
        <v>7618.91717171717</v>
      </c>
      <c r="M44" s="13">
        <v>44.85594219830899</v>
      </c>
      <c r="N44" s="13">
        <v>1.3991000343701863</v>
      </c>
      <c r="O44" s="13">
        <v>19.79331686074436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" t="s">
        <v>183</v>
      </c>
      <c r="C45" s="7">
        <v>0.1052544593804361</v>
      </c>
      <c r="D45" s="7">
        <v>0.12243771652599267</v>
      </c>
      <c r="E45" s="7">
        <v>0.0</v>
      </c>
      <c r="F45" s="7">
        <v>0.05040969093831808</v>
      </c>
      <c r="G45" s="7">
        <v>0.05317914085125117</v>
      </c>
      <c r="H45" s="7">
        <v>0.0030099157680738287</v>
      </c>
      <c r="I45" s="13">
        <v>0.07</v>
      </c>
      <c r="J45" s="13">
        <v>16.621501025007447</v>
      </c>
      <c r="K45" s="13">
        <v>25.71954557479514</v>
      </c>
      <c r="L45" s="13">
        <v>1.090025112271761</v>
      </c>
      <c r="M45" s="13">
        <v>18.40558316002379</v>
      </c>
      <c r="N45" s="13">
        <v>0.27911363128978595</v>
      </c>
      <c r="O45" s="13">
        <v>0.8080995106011396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" t="s">
        <v>90</v>
      </c>
      <c r="C46" s="7">
        <v>0.09111620885469485</v>
      </c>
      <c r="D46" s="7">
        <v>0.18930589652782848</v>
      </c>
      <c r="E46" s="7">
        <v>0.0</v>
      </c>
      <c r="F46" s="7">
        <v>0.11460468451643685</v>
      </c>
      <c r="G46" s="7">
        <v>0.6695959572162841</v>
      </c>
      <c r="H46" s="7">
        <v>0.026176062728321133</v>
      </c>
      <c r="I46" s="13">
        <v>1.52</v>
      </c>
      <c r="J46" s="13">
        <v>-0.324308192472939</v>
      </c>
      <c r="K46" s="13">
        <v>4.9882562549970295</v>
      </c>
      <c r="L46" s="13">
        <v>86.8742055129198</v>
      </c>
      <c r="M46" s="13">
        <v>76.03370940895675</v>
      </c>
      <c r="N46" s="13">
        <v>-32.54086028311633</v>
      </c>
      <c r="O46" s="13">
        <v>23.993694360194464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" t="s">
        <v>121</v>
      </c>
      <c r="C47" s="7">
        <v>0.19922883196752683</v>
      </c>
      <c r="D47" s="7">
        <v>0.19991695128261844</v>
      </c>
      <c r="E47" s="7">
        <v>0.22308529299628166</v>
      </c>
      <c r="F47" s="7">
        <v>0.0942753802608296</v>
      </c>
      <c r="G47" s="7">
        <v>0.17247556033594622</v>
      </c>
      <c r="H47" s="7">
        <v>0.021587429524395508</v>
      </c>
      <c r="I47" s="13">
        <v>0.14</v>
      </c>
      <c r="J47" s="13">
        <v>6.858784982437594</v>
      </c>
      <c r="K47" s="13">
        <v>9.285140159205222</v>
      </c>
      <c r="L47" s="13">
        <v>1.5084372111312092</v>
      </c>
      <c r="M47" s="13">
        <v>16.11565076112573</v>
      </c>
      <c r="N47" s="13">
        <v>1.235886238672933</v>
      </c>
      <c r="O47" s="13">
        <v>5.409507415119734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" t="s">
        <v>37</v>
      </c>
      <c r="C48" s="7">
        <v>0.04625046573498337</v>
      </c>
      <c r="D48" s="7">
        <v>0.10900389267317712</v>
      </c>
      <c r="E48" s="7">
        <v>0.13433553873544124</v>
      </c>
      <c r="F48" s="7">
        <v>0.15797831416936348</v>
      </c>
      <c r="G48" s="7">
        <v>0.12186329192409524</v>
      </c>
      <c r="H48" s="7">
        <v>0.10617915119952072</v>
      </c>
      <c r="I48" s="13">
        <v>0.79</v>
      </c>
      <c r="J48" s="13">
        <v>0.006103620215603489</v>
      </c>
      <c r="K48" s="13">
        <v>0.04385556444137448</v>
      </c>
      <c r="L48" s="13">
        <v>164.85982490517839</v>
      </c>
      <c r="M48" s="13">
        <v>20.128443316881388</v>
      </c>
      <c r="N48" s="13">
        <v>0.8532306314757577</v>
      </c>
      <c r="O48" s="13">
        <v>3.628499366340138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6" t="s">
        <v>51</v>
      </c>
      <c r="C49" s="7">
        <v>0.2284954514166524</v>
      </c>
      <c r="D49" s="7">
        <v>0.0</v>
      </c>
      <c r="E49" s="7">
        <v>0.0025237861878590895</v>
      </c>
      <c r="F49" s="7">
        <v>0.7916281218199933</v>
      </c>
      <c r="G49" s="7">
        <v>0.7857054182109793</v>
      </c>
      <c r="H49" s="7">
        <v>0.568384513355495</v>
      </c>
      <c r="I49" s="13">
        <v>0.58</v>
      </c>
      <c r="J49" s="13">
        <v>0.0</v>
      </c>
      <c r="K49" s="13">
        <v>0.0</v>
      </c>
      <c r="L49" s="13">
        <v>3997.1008466204576</v>
      </c>
      <c r="M49" s="13">
        <v>468.39438118098894</v>
      </c>
      <c r="N49" s="13">
        <v>1.8194021470535497</v>
      </c>
      <c r="O49" s="13">
        <v>13.579810246889327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6" t="s">
        <v>127</v>
      </c>
      <c r="C50" s="7">
        <v>0.08568435932101814</v>
      </c>
      <c r="D50" s="7">
        <v>0.08485214554999554</v>
      </c>
      <c r="E50" s="7">
        <v>0.1119251299984716</v>
      </c>
      <c r="F50" s="7">
        <v>0.19324105318906679</v>
      </c>
      <c r="G50" s="7">
        <v>0.14124826332618284</v>
      </c>
      <c r="H50" s="7">
        <v>0.07556798943676324</v>
      </c>
      <c r="I50" s="13">
        <v>0.36</v>
      </c>
      <c r="J50" s="13">
        <v>0.08246375961455767</v>
      </c>
      <c r="K50" s="13">
        <v>0.6391683050408781</v>
      </c>
      <c r="L50" s="13">
        <v>28.402293236657048</v>
      </c>
      <c r="M50" s="13">
        <v>38.9522809590973</v>
      </c>
      <c r="N50" s="13">
        <v>11.990698665588667</v>
      </c>
      <c r="O50" s="13">
        <v>6.60206018910465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" t="s">
        <v>52</v>
      </c>
      <c r="C51" s="7">
        <v>0.1411291432855124</v>
      </c>
      <c r="D51" s="7">
        <v>0.03745694971637814</v>
      </c>
      <c r="E51" s="7">
        <v>0.10652195430741762</v>
      </c>
      <c r="F51" s="7">
        <v>0.21847587965586115</v>
      </c>
      <c r="G51" s="7">
        <v>0.19583636226932324</v>
      </c>
      <c r="H51" s="7">
        <v>0.1501792411110088</v>
      </c>
      <c r="I51" s="13">
        <v>1.31</v>
      </c>
      <c r="J51" s="13">
        <v>0.06570579845187319</v>
      </c>
      <c r="K51" s="13">
        <v>0.4794653541922675</v>
      </c>
      <c r="L51" s="13">
        <v>37.498517378882674</v>
      </c>
      <c r="M51" s="13">
        <v>143.03958555729955</v>
      </c>
      <c r="N51" s="13">
        <v>-2.022389761683985</v>
      </c>
      <c r="O51" s="13">
        <v>9.457056845923136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" t="s">
        <v>62</v>
      </c>
      <c r="C52" s="7">
        <v>0.04557246203887377</v>
      </c>
      <c r="D52" s="7">
        <v>0.07619754399137979</v>
      </c>
      <c r="E52" s="7">
        <v>0.0947365431333107</v>
      </c>
      <c r="F52" s="7">
        <v>0.8191334252641105</v>
      </c>
      <c r="G52" s="7">
        <v>0.6258261048986697</v>
      </c>
      <c r="H52" s="7">
        <v>0.34489383508425603</v>
      </c>
      <c r="I52" s="13">
        <v>1.94</v>
      </c>
      <c r="J52" s="13">
        <v>0.05174721643300514</v>
      </c>
      <c r="K52" s="13">
        <v>0.054073974033881235</v>
      </c>
      <c r="L52" s="13">
        <v>298.25298595140276</v>
      </c>
      <c r="M52" s="13">
        <v>32.66920829800926</v>
      </c>
      <c r="N52" s="13">
        <v>5.292404201981775</v>
      </c>
      <c r="O52" s="13">
        <v>39.053007864365235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" t="s">
        <v>119</v>
      </c>
      <c r="C53" s="7">
        <v>0.041154133667448134</v>
      </c>
      <c r="D53" s="7">
        <v>0.03561191929606711</v>
      </c>
      <c r="E53" s="7">
        <v>0.02952808261725326</v>
      </c>
      <c r="F53" s="7">
        <v>0.12080116460254958</v>
      </c>
      <c r="G53" s="7">
        <v>0.0913378670530148</v>
      </c>
      <c r="H53" s="7">
        <v>0.07809921860640584</v>
      </c>
      <c r="I53" s="13">
        <v>0.62</v>
      </c>
      <c r="J53" s="13">
        <v>0.06515530723621682</v>
      </c>
      <c r="K53" s="13">
        <v>0.4382959153749429</v>
      </c>
      <c r="L53" s="13">
        <v>654.9923695185802</v>
      </c>
      <c r="M53" s="13">
        <v>20.738202437676033</v>
      </c>
      <c r="N53" s="13">
        <v>9.898828300525109</v>
      </c>
      <c r="O53" s="13">
        <v>3.4121116678596994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" t="s">
        <v>58</v>
      </c>
      <c r="C54" s="7">
        <v>0.07688945318272555</v>
      </c>
      <c r="D54" s="7">
        <v>0.13219874200561366</v>
      </c>
      <c r="E54" s="7">
        <v>0.18421075286755606</v>
      </c>
      <c r="F54" s="7">
        <v>0.2601358089081238</v>
      </c>
      <c r="G54" s="7">
        <v>0.21630272865342715</v>
      </c>
      <c r="H54" s="7">
        <v>0.10309376135955725</v>
      </c>
      <c r="I54" s="13">
        <v>1.39</v>
      </c>
      <c r="J54" s="13">
        <v>0.3700517551362933</v>
      </c>
      <c r="K54" s="13">
        <v>0.9532944017720768</v>
      </c>
      <c r="L54" s="13">
        <v>11.900631950095775</v>
      </c>
      <c r="M54" s="13">
        <v>20.865323997607135</v>
      </c>
      <c r="N54" s="13">
        <v>2.3475557382474075</v>
      </c>
      <c r="O54" s="13">
        <v>5.3087330535594806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" t="s">
        <v>82</v>
      </c>
      <c r="C55" s="7">
        <v>0.08182826671183507</v>
      </c>
      <c r="D55" s="7">
        <v>0.10311134076416684</v>
      </c>
      <c r="E55" s="7">
        <v>0.09711680082245389</v>
      </c>
      <c r="F55" s="7">
        <v>0.24713056632536334</v>
      </c>
      <c r="G55" s="7">
        <v>0.19712499050572221</v>
      </c>
      <c r="H55" s="7">
        <v>0.14287921514836038</v>
      </c>
      <c r="I55" s="13">
        <v>1.09</v>
      </c>
      <c r="J55" s="13">
        <v>0.05680047410800396</v>
      </c>
      <c r="K55" s="13">
        <v>0.3078190855338448</v>
      </c>
      <c r="L55" s="13">
        <v>79.54710441443645</v>
      </c>
      <c r="M55" s="13">
        <v>39.707669617945605</v>
      </c>
      <c r="N55" s="13">
        <v>3.0067983026871965</v>
      </c>
      <c r="O55" s="13">
        <v>12.054277624917534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" t="s">
        <v>72</v>
      </c>
      <c r="C56" s="7">
        <v>0.054410391149032566</v>
      </c>
      <c r="D56" s="7">
        <v>0.04517729112453761</v>
      </c>
      <c r="E56" s="7">
        <v>0.04118180083666356</v>
      </c>
      <c r="F56" s="7">
        <v>0.29848990636861156</v>
      </c>
      <c r="G56" s="7">
        <v>0.24748411122991898</v>
      </c>
      <c r="H56" s="7">
        <v>0.17364692819505378</v>
      </c>
      <c r="I56" s="13">
        <v>0.8</v>
      </c>
      <c r="J56" s="13">
        <v>0.07182258013143662</v>
      </c>
      <c r="K56" s="13">
        <v>0.2518752034386046</v>
      </c>
      <c r="L56" s="13">
        <v>71.39915791626414</v>
      </c>
      <c r="M56" s="13">
        <v>52.69508775421795</v>
      </c>
      <c r="N56" s="13">
        <v>-9.088736892769738</v>
      </c>
      <c r="O56" s="13">
        <v>12.09261594252683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" t="s">
        <v>66</v>
      </c>
      <c r="C57" s="7">
        <v>0.09474758504801395</v>
      </c>
      <c r="D57" s="7">
        <v>0.07818144418782857</v>
      </c>
      <c r="E57" s="7">
        <v>0.07116018258690149</v>
      </c>
      <c r="F57" s="7">
        <v>0.23383658705418586</v>
      </c>
      <c r="G57" s="7">
        <v>0.1766532027320055</v>
      </c>
      <c r="H57" s="7">
        <v>0.15422511070553385</v>
      </c>
      <c r="I57" s="13">
        <v>0.58</v>
      </c>
      <c r="J57" s="13">
        <v>0.006184830309913761</v>
      </c>
      <c r="K57" s="13">
        <v>0.02521325464340805</v>
      </c>
      <c r="L57" s="13">
        <v>928.9850076209142</v>
      </c>
      <c r="M57" s="13">
        <v>50.14885975201073</v>
      </c>
      <c r="N57" s="13">
        <v>1.728252290178697</v>
      </c>
      <c r="O57" s="13">
        <v>10.294608761329306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6" t="s">
        <v>55</v>
      </c>
      <c r="C58" s="7">
        <v>0.15739980745187632</v>
      </c>
      <c r="D58" s="7">
        <v>0.23811032138807953</v>
      </c>
      <c r="E58" s="7">
        <v>0.31572107447368647</v>
      </c>
      <c r="F58" s="7">
        <v>0.25193393808533393</v>
      </c>
      <c r="G58" s="7">
        <v>0.19368494753466836</v>
      </c>
      <c r="H58" s="7">
        <v>0.08062335936461679</v>
      </c>
      <c r="I58" s="13">
        <v>3.27</v>
      </c>
      <c r="J58" s="13">
        <v>0.23835923562416467</v>
      </c>
      <c r="K58" s="13">
        <v>0.7954023365058125</v>
      </c>
      <c r="L58" s="13">
        <v>7.10707357374233</v>
      </c>
      <c r="M58" s="13">
        <v>320.8677899149506</v>
      </c>
      <c r="N58" s="13">
        <v>0.6914046902817198</v>
      </c>
      <c r="O58" s="13">
        <v>36.34858001530166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6" t="s">
        <v>201</v>
      </c>
      <c r="C59" s="7">
        <v>0.02152281797791855</v>
      </c>
      <c r="D59" s="7">
        <v>-0.017297895377241912</v>
      </c>
      <c r="E59" s="7">
        <v>0.005437628363294644</v>
      </c>
      <c r="F59" s="7">
        <v>0.0751156139939637</v>
      </c>
      <c r="G59" s="7">
        <v>0.04848750362687425</v>
      </c>
      <c r="H59" s="7">
        <v>0.03302969021314563</v>
      </c>
      <c r="I59" s="13">
        <v>0.13</v>
      </c>
      <c r="J59" s="13">
        <v>0.21729118150559973</v>
      </c>
      <c r="K59" s="13">
        <v>4.594245183172544</v>
      </c>
      <c r="L59" s="13">
        <v>4.826982925768125</v>
      </c>
      <c r="M59" s="13">
        <v>133.44914692728173</v>
      </c>
      <c r="N59" s="13">
        <v>4.056895408851514</v>
      </c>
      <c r="O59" s="13">
        <v>5.728087986751318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6" t="s">
        <v>39</v>
      </c>
      <c r="C60" s="7">
        <v>0.08427784895564017</v>
      </c>
      <c r="D60" s="7">
        <v>0.13605953561788975</v>
      </c>
      <c r="E60" s="7">
        <v>0.1455719013272634</v>
      </c>
      <c r="F60" s="7">
        <v>0.1548949152693776</v>
      </c>
      <c r="G60" s="7">
        <v>0.13008545926079157</v>
      </c>
      <c r="H60" s="7">
        <v>0.0999778725856828</v>
      </c>
      <c r="I60" s="13">
        <v>0.75</v>
      </c>
      <c r="J60" s="13">
        <v>0.10556887359195545</v>
      </c>
      <c r="K60" s="13">
        <v>0.6662512936627062</v>
      </c>
      <c r="L60" s="13">
        <v>91.03688189057715</v>
      </c>
      <c r="M60" s="13">
        <v>13.199309053686392</v>
      </c>
      <c r="N60" s="13">
        <v>0.7712903487136918</v>
      </c>
      <c r="O60" s="13">
        <v>3.3088960584407032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6" t="s">
        <v>26</v>
      </c>
      <c r="C61" s="7">
        <v>0.11547732913574249</v>
      </c>
      <c r="D61" s="7">
        <v>0.10832221285680088</v>
      </c>
      <c r="E61" s="7">
        <v>0.1257335366368606</v>
      </c>
      <c r="F61" s="7">
        <v>0.33776142979899004</v>
      </c>
      <c r="G61" s="7">
        <v>0.2436204175762735</v>
      </c>
      <c r="H61" s="7">
        <v>0.181236639727397</v>
      </c>
      <c r="I61" s="13">
        <v>0.75</v>
      </c>
      <c r="J61" s="13">
        <v>0.01176554665151334</v>
      </c>
      <c r="K61" s="13">
        <v>0.03733538122604561</v>
      </c>
      <c r="L61" s="13">
        <v>458.3305581875119</v>
      </c>
      <c r="M61" s="13">
        <v>30.712930873897765</v>
      </c>
      <c r="N61" s="13">
        <v>2.4537616310513264</v>
      </c>
      <c r="O61" s="13">
        <v>7.92622714574829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6" t="s">
        <v>188</v>
      </c>
      <c r="C62" s="7">
        <v>0.5164170119947673</v>
      </c>
      <c r="D62" s="7">
        <v>0.0</v>
      </c>
      <c r="E62" s="7">
        <v>0.0</v>
      </c>
      <c r="F62" s="7">
        <v>-0.5031684528679237</v>
      </c>
      <c r="G62" s="7">
        <v>-0.6717251249814317</v>
      </c>
      <c r="H62" s="7">
        <v>-0.27951894802471783</v>
      </c>
      <c r="I62" s="13">
        <v>0.69</v>
      </c>
      <c r="J62" s="13">
        <v>0.10266819393443498</v>
      </c>
      <c r="K62" s="13">
        <v>-0.25681997204571466</v>
      </c>
      <c r="L62" s="13">
        <v>-40.196476646976905</v>
      </c>
      <c r="M62" s="13">
        <v>183.1333662239089</v>
      </c>
      <c r="N62" s="13">
        <v>3.2394272394634585</v>
      </c>
      <c r="O62" s="13">
        <v>5.705659328741022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6" t="s">
        <v>54</v>
      </c>
      <c r="C63" s="7">
        <v>0.09336014061762343</v>
      </c>
      <c r="D63" s="7">
        <v>0.0637099634143099</v>
      </c>
      <c r="E63" s="7">
        <v>0.05601061819385578</v>
      </c>
      <c r="F63" s="7">
        <v>0.19370961239626944</v>
      </c>
      <c r="G63" s="7">
        <v>0.14702003408708178</v>
      </c>
      <c r="H63" s="7">
        <v>0.11215639317403131</v>
      </c>
      <c r="I63" s="13">
        <v>0.87</v>
      </c>
      <c r="J63" s="13">
        <v>0.027010713192546727</v>
      </c>
      <c r="K63" s="13">
        <v>0.16952029878575217</v>
      </c>
      <c r="L63" s="13">
        <v>98.87564696851422</v>
      </c>
      <c r="M63" s="13">
        <v>16.317071496824532</v>
      </c>
      <c r="N63" s="13">
        <v>12.497418686807697</v>
      </c>
      <c r="O63" s="13">
        <v>2.1214186897691096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" t="s">
        <v>156</v>
      </c>
      <c r="C64" s="7">
        <v>0.13027294289028202</v>
      </c>
      <c r="D64" s="7">
        <v>0.1354817867100968</v>
      </c>
      <c r="E64" s="7">
        <v>0.23890447156490469</v>
      </c>
      <c r="F64" s="7">
        <v>0.057452227448024695</v>
      </c>
      <c r="G64" s="7">
        <v>0.10590593122923438</v>
      </c>
      <c r="H64" s="7">
        <v>0.009068796512192483</v>
      </c>
      <c r="I64" s="13">
        <v>0.08</v>
      </c>
      <c r="J64" s="13">
        <v>10.525482059312534</v>
      </c>
      <c r="K64" s="13">
        <v>19.087180469254264</v>
      </c>
      <c r="L64" s="13">
        <v>1.2931815510813396</v>
      </c>
      <c r="M64" s="13">
        <v>17.89217174648036</v>
      </c>
      <c r="N64" s="13">
        <v>1.4602738491466836</v>
      </c>
      <c r="O64" s="13">
        <v>1.416210513150265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6" t="s">
        <v>191</v>
      </c>
      <c r="C65" s="7">
        <v>0.08985190545327071</v>
      </c>
      <c r="D65" s="7">
        <v>0.0</v>
      </c>
      <c r="E65" s="7">
        <v>0.0</v>
      </c>
      <c r="F65" s="7">
        <v>0.024161451493363125</v>
      </c>
      <c r="G65" s="7">
        <v>0.008742069954740533</v>
      </c>
      <c r="H65" s="7">
        <v>0.007380413121026082</v>
      </c>
      <c r="I65" s="13">
        <v>0.59</v>
      </c>
      <c r="J65" s="13">
        <v>0.1430481809120554</v>
      </c>
      <c r="K65" s="13">
        <v>7.288802797089068</v>
      </c>
      <c r="L65" s="13">
        <v>1.8836431567375402</v>
      </c>
      <c r="M65" s="13">
        <v>214.13840945559858</v>
      </c>
      <c r="N65" s="13">
        <v>-12.152054675675098</v>
      </c>
      <c r="O65" s="13">
        <v>5.81060447432224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" t="s">
        <v>136</v>
      </c>
      <c r="C66" s="7">
        <v>0.0</v>
      </c>
      <c r="D66" s="7">
        <v>0.0</v>
      </c>
      <c r="E66" s="7">
        <v>0.0</v>
      </c>
      <c r="F66" s="7">
        <v>0.04199267770468179</v>
      </c>
      <c r="G66" s="7">
        <v>0.03650101356655902</v>
      </c>
      <c r="H66" s="7">
        <v>0.0311914269221832</v>
      </c>
      <c r="I66" s="13">
        <v>2.15</v>
      </c>
      <c r="J66" s="13">
        <v>0.06633458049406857</v>
      </c>
      <c r="K66" s="13">
        <v>-1.0902020043906482</v>
      </c>
      <c r="L66" s="13">
        <v>6.747298485334054</v>
      </c>
      <c r="M66" s="13">
        <v>-1266.6665282925605</v>
      </c>
      <c r="N66" s="13">
        <v>-26.77385986605934</v>
      </c>
      <c r="O66" s="13">
        <v>30.853239255005693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6" t="s">
        <v>27</v>
      </c>
      <c r="C67" s="7">
        <v>0.1024806204560802</v>
      </c>
      <c r="D67" s="7">
        <v>0.12828461712307426</v>
      </c>
      <c r="E67" s="7">
        <v>0.1765063177793802</v>
      </c>
      <c r="F67" s="7">
        <v>0.15914875563895037</v>
      </c>
      <c r="G67" s="7">
        <v>0.13090949906153748</v>
      </c>
      <c r="H67" s="7">
        <v>0.08370263917418308</v>
      </c>
      <c r="I67" s="13">
        <v>1.1</v>
      </c>
      <c r="J67" s="13">
        <v>0.16229698960541283</v>
      </c>
      <c r="K67" s="13">
        <v>0.942885930744527</v>
      </c>
      <c r="L67" s="13">
        <v>40.09491134056747</v>
      </c>
      <c r="M67" s="13">
        <v>9.574759893772889</v>
      </c>
      <c r="N67" s="13">
        <v>0.3797112034631426</v>
      </c>
      <c r="O67" s="13">
        <v>1.7055603299657371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6" t="s">
        <v>104</v>
      </c>
      <c r="C68" s="7">
        <v>0.04198728988867373</v>
      </c>
      <c r="D68" s="7">
        <v>0.024248898558316023</v>
      </c>
      <c r="E68" s="7">
        <v>0.008186851993796207</v>
      </c>
      <c r="F68" s="7">
        <v>0.1439809237532138</v>
      </c>
      <c r="G68" s="7">
        <v>0.12796796641724228</v>
      </c>
      <c r="H68" s="7">
        <v>0.09419175391038298</v>
      </c>
      <c r="I68" s="13">
        <v>0.88</v>
      </c>
      <c r="J68" s="13">
        <v>0.20355853125070075</v>
      </c>
      <c r="K68" s="13">
        <v>1.7839730777592269</v>
      </c>
      <c r="L68" s="13">
        <v>15.633527191967707</v>
      </c>
      <c r="M68" s="13">
        <v>19.688569302474807</v>
      </c>
      <c r="N68" s="13">
        <v>-0.3923190325490864</v>
      </c>
      <c r="O68" s="13">
        <v>1.774751142264352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" t="s">
        <v>200</v>
      </c>
      <c r="C69" s="7">
        <v>0.0019383460508741734</v>
      </c>
      <c r="D69" s="7">
        <v>-0.03928396826022107</v>
      </c>
      <c r="E69" s="7">
        <v>-0.1974256538412733</v>
      </c>
      <c r="F69" s="7">
        <v>-0.038487355549587494</v>
      </c>
      <c r="G69" s="7">
        <v>-0.11338293981112114</v>
      </c>
      <c r="H69" s="7">
        <v>-0.058850392085132985</v>
      </c>
      <c r="I69" s="13">
        <v>0.21</v>
      </c>
      <c r="J69" s="13">
        <v>0.41762543819864517</v>
      </c>
      <c r="K69" s="13">
        <v>-37.30891441257597</v>
      </c>
      <c r="L69" s="13">
        <v>-2.3389212022546126</v>
      </c>
      <c r="M69" s="13">
        <v>130.51906131251926</v>
      </c>
      <c r="N69" s="13">
        <v>3.490014968565652</v>
      </c>
      <c r="O69" s="13">
        <v>1.486581756291359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6" t="s">
        <v>48</v>
      </c>
      <c r="C70" s="7">
        <v>0.09191051725384858</v>
      </c>
      <c r="D70" s="7">
        <v>0.13679563569061326</v>
      </c>
      <c r="E70" s="7">
        <v>0.1977461605561328</v>
      </c>
      <c r="F70" s="7">
        <v>0.2042439130493706</v>
      </c>
      <c r="G70" s="7">
        <v>0.16201493872765796</v>
      </c>
      <c r="H70" s="7">
        <v>0.11526396446357658</v>
      </c>
      <c r="I70" s="13">
        <v>0.88</v>
      </c>
      <c r="J70" s="13">
        <v>0.08696291480435496</v>
      </c>
      <c r="K70" s="13">
        <v>0.37645781784491894</v>
      </c>
      <c r="L70" s="13">
        <v>101.50587664978046</v>
      </c>
      <c r="M70" s="13">
        <v>30.483973861618313</v>
      </c>
      <c r="N70" s="13">
        <v>1.830590046431693</v>
      </c>
      <c r="O70" s="13">
        <v>7.983434298531905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" t="s">
        <v>103</v>
      </c>
      <c r="C71" s="7">
        <v>0.06941704266948001</v>
      </c>
      <c r="D71" s="7">
        <v>0.07726179656267007</v>
      </c>
      <c r="E71" s="7">
        <v>0.06452557412260118</v>
      </c>
      <c r="F71" s="7">
        <v>0.23554062485264213</v>
      </c>
      <c r="G71" s="7">
        <v>0.1963306034376153</v>
      </c>
      <c r="H71" s="7">
        <v>0.14907371230357058</v>
      </c>
      <c r="I71" s="13">
        <v>0.76</v>
      </c>
      <c r="J71" s="13">
        <v>0.09171833959457402</v>
      </c>
      <c r="K71" s="13">
        <v>0.37020816965873315</v>
      </c>
      <c r="L71" s="13">
        <v>114.301140286497</v>
      </c>
      <c r="M71" s="13">
        <v>57.65343392596965</v>
      </c>
      <c r="N71" s="13">
        <v>0.8079439546092652</v>
      </c>
      <c r="O71" s="13">
        <v>14.17591077364808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" t="s">
        <v>63</v>
      </c>
      <c r="C72" s="7">
        <v>0.17947326369454797</v>
      </c>
      <c r="D72" s="7">
        <v>0.3005216715112162</v>
      </c>
      <c r="E72" s="7">
        <v>0.46155647587904114</v>
      </c>
      <c r="F72" s="7">
        <v>0.06678200551891979</v>
      </c>
      <c r="G72" s="7">
        <v>0.06162351203656805</v>
      </c>
      <c r="H72" s="7">
        <v>0.024257818242179135</v>
      </c>
      <c r="I72" s="13">
        <v>0.11</v>
      </c>
      <c r="J72" s="13">
        <v>1.0828437559860589</v>
      </c>
      <c r="K72" s="13">
        <v>-4.994801905266621</v>
      </c>
      <c r="L72" s="13">
        <v>2.9194606764902504</v>
      </c>
      <c r="M72" s="13">
        <v>-212.08575041166748</v>
      </c>
      <c r="N72" s="13">
        <v>0.9708917489798422</v>
      </c>
      <c r="O72" s="13">
        <v>3.6770830777556243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" t="s">
        <v>174</v>
      </c>
      <c r="C73" s="7">
        <v>0.1340770961150375</v>
      </c>
      <c r="D73" s="7">
        <v>-0.02498762018246503</v>
      </c>
      <c r="E73" s="7">
        <v>-0.14108883457729282</v>
      </c>
      <c r="F73" s="7">
        <v>0.04963853444267996</v>
      </c>
      <c r="G73" s="7">
        <v>0.03701747978812202</v>
      </c>
      <c r="H73" s="7">
        <v>0.029147210044326948</v>
      </c>
      <c r="I73" s="13">
        <v>0.33</v>
      </c>
      <c r="J73" s="13">
        <v>0.11472312254258105</v>
      </c>
      <c r="K73" s="13">
        <v>2.741042916287037</v>
      </c>
      <c r="L73" s="13">
        <v>11.736894767295665</v>
      </c>
      <c r="M73" s="13">
        <v>163.0301573840502</v>
      </c>
      <c r="N73" s="13">
        <v>-10.700702576415935</v>
      </c>
      <c r="O73" s="13">
        <v>3.26647976207787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" t="s">
        <v>70</v>
      </c>
      <c r="C74" s="7">
        <v>0.15033775651431625</v>
      </c>
      <c r="D74" s="7">
        <v>0.10806064590563569</v>
      </c>
      <c r="E74" s="7">
        <v>0.07655190455497518</v>
      </c>
      <c r="F74" s="7">
        <v>0.2440864097979978</v>
      </c>
      <c r="G74" s="7">
        <v>0.18072343370500576</v>
      </c>
      <c r="H74" s="7">
        <v>0.10786284281323155</v>
      </c>
      <c r="I74" s="13">
        <v>1.66</v>
      </c>
      <c r="J74" s="13">
        <v>0.0539818568087389</v>
      </c>
      <c r="K74" s="13">
        <v>0.19518546261626005</v>
      </c>
      <c r="L74" s="13">
        <v>29.736931073960623</v>
      </c>
      <c r="M74" s="13">
        <v>42.33653900540992</v>
      </c>
      <c r="N74" s="13">
        <v>3.809586942337599</v>
      </c>
      <c r="O74" s="13">
        <v>11.504844082155904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6" t="s">
        <v>25</v>
      </c>
      <c r="C75" s="7">
        <v>0.1429407993485443</v>
      </c>
      <c r="D75" s="7">
        <v>0.1318149302997078</v>
      </c>
      <c r="E75" s="7">
        <v>0.10023273443686098</v>
      </c>
      <c r="F75" s="7">
        <v>0.3407423084079229</v>
      </c>
      <c r="G75" s="7">
        <v>0.26901794827320763</v>
      </c>
      <c r="H75" s="7">
        <v>0.20608795052661769</v>
      </c>
      <c r="I75" s="13">
        <v>1.15</v>
      </c>
      <c r="J75" s="13">
        <v>0.016325861237204996</v>
      </c>
      <c r="K75" s="13">
        <v>0.042343865953983116</v>
      </c>
      <c r="L75" s="13">
        <v>195.60407806117664</v>
      </c>
      <c r="M75" s="13">
        <v>24.201779464890496</v>
      </c>
      <c r="N75" s="13">
        <v>6.9476238531939405</v>
      </c>
      <c r="O75" s="13">
        <v>12.368538208357185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" t="s">
        <v>14</v>
      </c>
      <c r="C76" s="7">
        <v>0.10514408658788965</v>
      </c>
      <c r="D76" s="7">
        <v>0.16684040916069742</v>
      </c>
      <c r="E76" s="7">
        <v>0.17809458069127548</v>
      </c>
      <c r="F76" s="7">
        <v>0.4068042414386772</v>
      </c>
      <c r="G76" s="7">
        <v>0.29540983192576675</v>
      </c>
      <c r="H76" s="7">
        <v>0.2741088067617832</v>
      </c>
      <c r="I76" s="13">
        <v>0.5</v>
      </c>
      <c r="J76" s="13">
        <v>0.0</v>
      </c>
      <c r="K76" s="13">
        <v>0.0</v>
      </c>
      <c r="L76" s="13">
        <v>235.85844054129828</v>
      </c>
      <c r="M76" s="13">
        <v>25.64687216979863</v>
      </c>
      <c r="N76" s="13">
        <v>1.3259900766815933</v>
      </c>
      <c r="O76" s="13">
        <v>10.550246491946291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" t="s">
        <v>138</v>
      </c>
      <c r="C77" s="7">
        <v>0.17438849891451946</v>
      </c>
      <c r="D77" s="7">
        <v>0.1844750675475546</v>
      </c>
      <c r="E77" s="7">
        <v>0.18537272607800315</v>
      </c>
      <c r="F77" s="7">
        <v>0.06379514085039147</v>
      </c>
      <c r="G77" s="7">
        <v>0.1509476922878782</v>
      </c>
      <c r="H77" s="7">
        <v>0.017219121452072765</v>
      </c>
      <c r="I77" s="13">
        <v>0.08</v>
      </c>
      <c r="J77" s="13">
        <v>7.387533161988845</v>
      </c>
      <c r="K77" s="13">
        <v>17.855305801086484</v>
      </c>
      <c r="L77" s="13">
        <v>1.657000828079279</v>
      </c>
      <c r="M77" s="13">
        <v>20.21399184727066</v>
      </c>
      <c r="N77" s="13">
        <v>2.088533768741027</v>
      </c>
      <c r="O77" s="13">
        <v>2.7900009141952022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6" t="s">
        <v>151</v>
      </c>
      <c r="C78" s="7">
        <v>0.1821626833683474</v>
      </c>
      <c r="D78" s="7">
        <v>0.050374298272726215</v>
      </c>
      <c r="E78" s="7">
        <v>0.08213590878943156</v>
      </c>
      <c r="F78" s="7">
        <v>0.16684747209430129</v>
      </c>
      <c r="G78" s="7">
        <v>0.160295823768313</v>
      </c>
      <c r="H78" s="7">
        <v>0.007576441196480068</v>
      </c>
      <c r="I78" s="13">
        <v>0.28</v>
      </c>
      <c r="J78" s="13">
        <v>0.0858273098690199</v>
      </c>
      <c r="K78" s="13">
        <v>2.9972266604733706</v>
      </c>
      <c r="L78" s="13">
        <v>92.86025497744345</v>
      </c>
      <c r="M78" s="13">
        <v>136.91748783203144</v>
      </c>
      <c r="N78" s="13">
        <v>5.551667671041558</v>
      </c>
      <c r="O78" s="13">
        <v>9.155083221709582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6" t="s">
        <v>21</v>
      </c>
      <c r="C79" s="7">
        <v>0.03662688370055189</v>
      </c>
      <c r="D79" s="7">
        <v>0.02739890984555493</v>
      </c>
      <c r="E79" s="7">
        <v>0.038480394888654734</v>
      </c>
      <c r="F79" s="7">
        <v>0.32338042709976134</v>
      </c>
      <c r="G79" s="7">
        <v>0.23863940637586836</v>
      </c>
      <c r="H79" s="7">
        <v>0.16993463077121337</v>
      </c>
      <c r="I79" s="13">
        <v>1.5</v>
      </c>
      <c r="J79" s="13">
        <v>0.009388811527553656</v>
      </c>
      <c r="K79" s="13">
        <v>0.03629768766618304</v>
      </c>
      <c r="L79" s="13">
        <v>388.86924187840526</v>
      </c>
      <c r="M79" s="13">
        <v>12.648362858534494</v>
      </c>
      <c r="N79" s="13">
        <v>1.001894715019779</v>
      </c>
      <c r="O79" s="13">
        <v>3.7592550052128435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" t="s">
        <v>91</v>
      </c>
      <c r="C80" s="7">
        <v>0.10535025708160917</v>
      </c>
      <c r="D80" s="7">
        <v>0.127717064657489</v>
      </c>
      <c r="E80" s="7">
        <v>0.2774492398217805</v>
      </c>
      <c r="F80" s="7">
        <v>0.07626395908297257</v>
      </c>
      <c r="G80" s="7">
        <v>0.04747459086764412</v>
      </c>
      <c r="H80" s="7">
        <v>0.028422229419152987</v>
      </c>
      <c r="I80" s="13">
        <v>0.96</v>
      </c>
      <c r="J80" s="13">
        <v>0.35395122505588694</v>
      </c>
      <c r="K80" s="13">
        <v>3.4670935966259044</v>
      </c>
      <c r="L80" s="13">
        <v>4.179081995626452</v>
      </c>
      <c r="M80" s="13">
        <v>14.71849870083326</v>
      </c>
      <c r="N80" s="13">
        <v>0.32999914807668695</v>
      </c>
      <c r="O80" s="13">
        <v>2.1844310172919696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" t="s">
        <v>76</v>
      </c>
      <c r="C81" s="7">
        <v>0.06337370435758549</v>
      </c>
      <c r="D81" s="7">
        <v>0.14517087615689794</v>
      </c>
      <c r="E81" s="7">
        <v>0.15328349671121155</v>
      </c>
      <c r="F81" s="7">
        <v>0.2841843118186111</v>
      </c>
      <c r="G81" s="7">
        <v>0.22771222456977133</v>
      </c>
      <c r="H81" s="7">
        <v>0.06552795405994735</v>
      </c>
      <c r="I81" s="13">
        <v>0.33</v>
      </c>
      <c r="J81" s="13">
        <v>0.1081457884864233</v>
      </c>
      <c r="K81" s="13">
        <v>0.30192010632935795</v>
      </c>
      <c r="L81" s="13">
        <v>143.45154669169628</v>
      </c>
      <c r="M81" s="13">
        <v>25.106294687221965</v>
      </c>
      <c r="N81" s="13">
        <v>3.5349927125638607</v>
      </c>
      <c r="O81" s="13">
        <v>8.018513296128187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" t="s">
        <v>75</v>
      </c>
      <c r="C82" s="7">
        <v>0.09333402372563282</v>
      </c>
      <c r="D82" s="7">
        <v>0.07583755065185183</v>
      </c>
      <c r="E82" s="7">
        <v>0.07050894274628994</v>
      </c>
      <c r="F82" s="7">
        <v>0.13142310572268004</v>
      </c>
      <c r="G82" s="7">
        <v>0.16998918193041945</v>
      </c>
      <c r="H82" s="7">
        <v>0.04705208090903854</v>
      </c>
      <c r="I82" s="13">
        <v>2.3</v>
      </c>
      <c r="J82" s="13">
        <v>1.3608736906053116</v>
      </c>
      <c r="K82" s="13">
        <v>2.1787816867809497</v>
      </c>
      <c r="L82" s="13">
        <v>9.481718103393327</v>
      </c>
      <c r="M82" s="13">
        <v>8.668955585196851</v>
      </c>
      <c r="N82" s="13">
        <v>-0.20872905278124126</v>
      </c>
      <c r="O82" s="13">
        <v>1.6683661710724724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6" t="s">
        <v>59</v>
      </c>
      <c r="C83" s="7">
        <v>0.07064149511512396</v>
      </c>
      <c r="D83" s="7">
        <v>0.09531983610314643</v>
      </c>
      <c r="E83" s="7">
        <v>0.09911196208795969</v>
      </c>
      <c r="F83" s="7">
        <v>0.6170630195902294</v>
      </c>
      <c r="G83" s="7">
        <v>0.4467775376688998</v>
      </c>
      <c r="H83" s="7">
        <v>0.21560328212969018</v>
      </c>
      <c r="I83" s="13">
        <v>0.8</v>
      </c>
      <c r="J83" s="13">
        <v>0.023741566188390007</v>
      </c>
      <c r="K83" s="13">
        <v>0.08830951164639711</v>
      </c>
      <c r="L83" s="13">
        <v>165.00950723885853</v>
      </c>
      <c r="M83" s="13">
        <v>36.74038743089089</v>
      </c>
      <c r="N83" s="13">
        <v>9.515323100168063</v>
      </c>
      <c r="O83" s="13">
        <v>10.797700974508167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6" t="s">
        <v>49</v>
      </c>
      <c r="C84" s="7">
        <v>0.09128350426869192</v>
      </c>
      <c r="D84" s="7">
        <v>0.10728355196646766</v>
      </c>
      <c r="E84" s="7">
        <v>0.023166495805462484</v>
      </c>
      <c r="F84" s="7">
        <v>0.38786059902891706</v>
      </c>
      <c r="G84" s="7">
        <v>0.39544792507481746</v>
      </c>
      <c r="H84" s="7">
        <v>0.21377894212901555</v>
      </c>
      <c r="I84" s="13">
        <v>0.99</v>
      </c>
      <c r="J84" s="13">
        <v>0.3710970993530115</v>
      </c>
      <c r="K84" s="13">
        <v>0.4823649566288002</v>
      </c>
      <c r="L84" s="13">
        <v>46.96017620831646</v>
      </c>
      <c r="M84" s="13">
        <v>11.878171001787877</v>
      </c>
      <c r="N84" s="13">
        <v>0.5933033254654997</v>
      </c>
      <c r="O84" s="13">
        <v>14.685222498118886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6" t="s">
        <v>185</v>
      </c>
      <c r="C85" s="7">
        <v>0.0</v>
      </c>
      <c r="D85" s="7">
        <v>0.0</v>
      </c>
      <c r="E85" s="7">
        <v>0.0</v>
      </c>
      <c r="F85" s="7">
        <v>0.17767347947452516</v>
      </c>
      <c r="G85" s="7">
        <v>0.12873281732913538</v>
      </c>
      <c r="H85" s="7">
        <v>0.039602402250271236</v>
      </c>
      <c r="I85" s="13">
        <v>0.96</v>
      </c>
      <c r="J85" s="13">
        <v>0.1794682879785916</v>
      </c>
      <c r="K85" s="13">
        <v>0.6397152158725823</v>
      </c>
      <c r="L85" s="13">
        <v>6.593584067985477</v>
      </c>
      <c r="M85" s="13">
        <v>87.0750206468237</v>
      </c>
      <c r="N85" s="13">
        <v>1.1960436201488747</v>
      </c>
      <c r="O85" s="13">
        <v>13.3919805130858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" t="s">
        <v>139</v>
      </c>
      <c r="C86" s="7">
        <v>0.1220669119493698</v>
      </c>
      <c r="D86" s="7">
        <v>0.1341028298737552</v>
      </c>
      <c r="E86" s="7">
        <v>0.13204365021808528</v>
      </c>
      <c r="F86" s="7">
        <v>0.08558148951819887</v>
      </c>
      <c r="G86" s="7">
        <v>0.11846910459253272</v>
      </c>
      <c r="H86" s="7">
        <v>0.020839163345935923</v>
      </c>
      <c r="I86" s="13">
        <v>0.09</v>
      </c>
      <c r="J86" s="13">
        <v>4.503820553664808</v>
      </c>
      <c r="K86" s="13">
        <v>9.63636788691906</v>
      </c>
      <c r="L86" s="13">
        <v>1.5406849258670734</v>
      </c>
      <c r="M86" s="13">
        <v>14.16199433174224</v>
      </c>
      <c r="N86" s="13">
        <v>0.5266201088285712</v>
      </c>
      <c r="O86" s="13">
        <v>2.221945582001793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6" t="s">
        <v>78</v>
      </c>
      <c r="C87" s="7">
        <v>0.0</v>
      </c>
      <c r="D87" s="7">
        <v>0.0</v>
      </c>
      <c r="E87" s="7">
        <v>0.0</v>
      </c>
      <c r="F87" s="7">
        <v>0.3412879630843027</v>
      </c>
      <c r="G87" s="7">
        <v>0.2602556426449511</v>
      </c>
      <c r="H87" s="7">
        <v>0.1348960936911837</v>
      </c>
      <c r="I87" s="13">
        <v>2.46</v>
      </c>
      <c r="J87" s="13">
        <v>0.07361694905932596</v>
      </c>
      <c r="K87" s="13">
        <v>0.19546289543790427</v>
      </c>
      <c r="L87" s="13">
        <v>36.500903454360916</v>
      </c>
      <c r="M87" s="13">
        <v>15.092131532421012</v>
      </c>
      <c r="N87" s="13">
        <v>0.0</v>
      </c>
      <c r="O87" s="13">
        <v>8.7999301379229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" t="s">
        <v>170</v>
      </c>
      <c r="C88" s="7">
        <v>0.11963235861895472</v>
      </c>
      <c r="D88" s="7">
        <v>0.1506695415732231</v>
      </c>
      <c r="E88" s="7">
        <v>0.1711818943913972</v>
      </c>
      <c r="F88" s="7">
        <v>0.05616849057363241</v>
      </c>
      <c r="G88" s="7">
        <v>0.11115444442722494</v>
      </c>
      <c r="H88" s="7">
        <v>0.013898952378968467</v>
      </c>
      <c r="I88" s="13">
        <v>0.07</v>
      </c>
      <c r="J88" s="13">
        <v>6.855397574392033</v>
      </c>
      <c r="K88" s="13">
        <v>23.022872262343004</v>
      </c>
      <c r="L88" s="13">
        <v>1.5300119468910447</v>
      </c>
      <c r="M88" s="13">
        <v>21.802567852262097</v>
      </c>
      <c r="N88" s="13">
        <v>1.4641735071651503</v>
      </c>
      <c r="O88" s="13">
        <v>3.287775784957561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6" t="s">
        <v>38</v>
      </c>
      <c r="C89" s="7">
        <v>0.14788120351390832</v>
      </c>
      <c r="D89" s="7">
        <v>0.16126919208506973</v>
      </c>
      <c r="E89" s="7">
        <v>0.17327361668111574</v>
      </c>
      <c r="F89" s="7">
        <v>0.22851469253200937</v>
      </c>
      <c r="G89" s="7">
        <v>0.17629206156888225</v>
      </c>
      <c r="H89" s="7">
        <v>0.0314645575234682</v>
      </c>
      <c r="I89" s="13">
        <v>0.36</v>
      </c>
      <c r="J89" s="13">
        <v>0.06222301048423088</v>
      </c>
      <c r="K89" s="13">
        <v>-0.029160525839177907</v>
      </c>
      <c r="L89" s="13">
        <v>22.568700554707746</v>
      </c>
      <c r="M89" s="13">
        <v>26.061050349744782</v>
      </c>
      <c r="N89" s="13">
        <v>1.183211472741529</v>
      </c>
      <c r="O89" s="13">
        <v>6.135349084615507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6" t="s">
        <v>152</v>
      </c>
      <c r="C90" s="7">
        <v>0.25897091275105266</v>
      </c>
      <c r="D90" s="7">
        <v>0.15130276431619927</v>
      </c>
      <c r="E90" s="7">
        <v>0.12565414811452902</v>
      </c>
      <c r="F90" s="7">
        <v>0.05735641605822514</v>
      </c>
      <c r="G90" s="7">
        <v>0.010122414129666595</v>
      </c>
      <c r="H90" s="7">
        <v>0.0014635135398771604</v>
      </c>
      <c r="I90" s="13">
        <v>0.11</v>
      </c>
      <c r="J90" s="13">
        <v>7.467888392815023</v>
      </c>
      <c r="K90" s="13">
        <v>20.194304946337823</v>
      </c>
      <c r="L90" s="13">
        <v>1.0612943560929458</v>
      </c>
      <c r="M90" s="13">
        <v>24.636886537607904</v>
      </c>
      <c r="N90" s="13">
        <v>-0.5257116658769542</v>
      </c>
      <c r="O90" s="13">
        <v>1.0568375860076686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" t="s">
        <v>135</v>
      </c>
      <c r="C91" s="7">
        <v>0.14333098170264313</v>
      </c>
      <c r="D91" s="7">
        <v>0.14458714651904492</v>
      </c>
      <c r="E91" s="7">
        <v>0.3140301715418534</v>
      </c>
      <c r="F91" s="7">
        <v>0.04972138439423421</v>
      </c>
      <c r="G91" s="7">
        <v>0.08611705582817862</v>
      </c>
      <c r="H91" s="7">
        <v>0.006200750570427635</v>
      </c>
      <c r="I91" s="13">
        <v>0.07</v>
      </c>
      <c r="J91" s="13">
        <v>12.779630785089196</v>
      </c>
      <c r="K91" s="13">
        <v>23.506552840206343</v>
      </c>
      <c r="L91" s="13">
        <v>1.1812940955474474</v>
      </c>
      <c r="M91" s="13">
        <v>19.126579049145647</v>
      </c>
      <c r="N91" s="13">
        <v>0.18857458315466355</v>
      </c>
      <c r="O91" s="13">
        <v>1.0519863384674693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" t="s">
        <v>129</v>
      </c>
      <c r="C92" s="7">
        <v>0.08044962991875004</v>
      </c>
      <c r="D92" s="7">
        <v>0.16803281222687327</v>
      </c>
      <c r="E92" s="7">
        <v>0.3259155769841724</v>
      </c>
      <c r="F92" s="7">
        <v>0.0845784482236467</v>
      </c>
      <c r="G92" s="7">
        <v>0.047964299367144435</v>
      </c>
      <c r="H92" s="7">
        <v>0.03545251651493456</v>
      </c>
      <c r="I92" s="13">
        <v>0.52</v>
      </c>
      <c r="J92" s="13">
        <v>0.407896657019563</v>
      </c>
      <c r="K92" s="13">
        <v>-1.8435288210311545</v>
      </c>
      <c r="L92" s="13">
        <v>6.07243587310872</v>
      </c>
      <c r="M92" s="13">
        <v>54.88716006732218</v>
      </c>
      <c r="N92" s="13">
        <v>2.728613137654521</v>
      </c>
      <c r="O92" s="13">
        <v>9.959191874142673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6" t="s">
        <v>97</v>
      </c>
      <c r="C93" s="7">
        <v>0.08092176574145427</v>
      </c>
      <c r="D93" s="7">
        <v>0.053400881319181304</v>
      </c>
      <c r="E93" s="7">
        <v>0.014332905257515849</v>
      </c>
      <c r="F93" s="7">
        <v>0.13370976684198843</v>
      </c>
      <c r="G93" s="7">
        <v>0.14380105559295955</v>
      </c>
      <c r="H93" s="7">
        <v>0.052039678811487765</v>
      </c>
      <c r="I93" s="13">
        <v>1.53</v>
      </c>
      <c r="J93" s="13">
        <v>0.8354463663489842</v>
      </c>
      <c r="K93" s="13">
        <v>3.3209736033665505</v>
      </c>
      <c r="L93" s="13">
        <v>6.378083289301774</v>
      </c>
      <c r="M93" s="13">
        <v>9.781932817229855</v>
      </c>
      <c r="N93" s="13">
        <v>-0.206771641997175</v>
      </c>
      <c r="O93" s="13">
        <v>1.0092393833202575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6" t="s">
        <v>23</v>
      </c>
      <c r="C94" s="7">
        <v>0.13085302296957746</v>
      </c>
      <c r="D94" s="7">
        <v>0.23337109981726978</v>
      </c>
      <c r="E94" s="7">
        <v>0.21428398845670804</v>
      </c>
      <c r="F94" s="7">
        <v>0.43626894538334016</v>
      </c>
      <c r="G94" s="7">
        <v>0.31010013850426366</v>
      </c>
      <c r="H94" s="7">
        <v>0.14448527560561172</v>
      </c>
      <c r="I94" s="13">
        <v>0.73</v>
      </c>
      <c r="J94" s="13">
        <v>0.037566828688070986</v>
      </c>
      <c r="K94" s="13">
        <v>0.14164420092602198</v>
      </c>
      <c r="L94" s="13">
        <v>102.0091067250778</v>
      </c>
      <c r="M94" s="13">
        <v>36.210352543640724</v>
      </c>
      <c r="N94" s="13">
        <v>2.4186569184616276</v>
      </c>
      <c r="O94" s="13">
        <v>15.887314716239455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6" t="s">
        <v>176</v>
      </c>
      <c r="C95" s="7">
        <v>0.13719996553332847</v>
      </c>
      <c r="D95" s="7">
        <v>0.13713346123274217</v>
      </c>
      <c r="E95" s="7">
        <v>0.22582870808052258</v>
      </c>
      <c r="F95" s="7">
        <v>0.055787753348801115</v>
      </c>
      <c r="G95" s="7">
        <v>0.12060222826719946</v>
      </c>
      <c r="H95" s="7">
        <v>0.011887721325210994</v>
      </c>
      <c r="I95" s="13">
        <v>0.06</v>
      </c>
      <c r="J95" s="13">
        <v>8.561601538136822</v>
      </c>
      <c r="K95" s="13">
        <v>16.431244347766583</v>
      </c>
      <c r="L95" s="13">
        <v>1.354900181510837</v>
      </c>
      <c r="M95" s="13">
        <v>21.059611051829012</v>
      </c>
      <c r="N95" s="13">
        <v>17.83850924147141</v>
      </c>
      <c r="O95" s="13">
        <v>3.087244381146192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6" t="s">
        <v>199</v>
      </c>
      <c r="C96" s="7">
        <v>0.0</v>
      </c>
      <c r="D96" s="7">
        <v>0.0</v>
      </c>
      <c r="E96" s="7">
        <v>0.0</v>
      </c>
      <c r="F96" s="7">
        <v>0.07946995174303814</v>
      </c>
      <c r="G96" s="7">
        <v>0.1249959543525139</v>
      </c>
      <c r="H96" s="7">
        <v>0.016442601570801102</v>
      </c>
      <c r="I96" s="13">
        <v>0.09</v>
      </c>
      <c r="J96" s="13">
        <v>6.434059290320581</v>
      </c>
      <c r="K96" s="13">
        <v>10.880204070853509</v>
      </c>
      <c r="L96" s="13">
        <v>1.436002182140347</v>
      </c>
      <c r="M96" s="13">
        <v>17.06597376265435</v>
      </c>
      <c r="N96" s="13">
        <v>0.7128967441784054</v>
      </c>
      <c r="O96" s="13">
        <v>4.204432835646434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6" t="s">
        <v>10</v>
      </c>
      <c r="C97" s="7">
        <v>0.15012675770821193</v>
      </c>
      <c r="D97" s="7">
        <v>0.09909037776645246</v>
      </c>
      <c r="E97" s="7">
        <v>0.13353227397164757</v>
      </c>
      <c r="F97" s="7">
        <v>0.2657295549659203</v>
      </c>
      <c r="G97" s="7">
        <v>0.19203498402480246</v>
      </c>
      <c r="H97" s="7">
        <v>0.1297927797037094</v>
      </c>
      <c r="I97" s="13">
        <v>1.0</v>
      </c>
      <c r="J97" s="13">
        <v>0.013728366031517036</v>
      </c>
      <c r="K97" s="13">
        <v>0.050695363391559084</v>
      </c>
      <c r="L97" s="13">
        <v>261.16139024465065</v>
      </c>
      <c r="M97" s="13">
        <v>13.159550201286427</v>
      </c>
      <c r="N97" s="13">
        <v>-1.207591093512071</v>
      </c>
      <c r="O97" s="13">
        <v>3.0629834920648595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6" t="s">
        <v>15</v>
      </c>
      <c r="C98" s="7">
        <v>0.18411896119680926</v>
      </c>
      <c r="D98" s="7">
        <v>0.23560777754210394</v>
      </c>
      <c r="E98" s="7">
        <v>0.22281583501845792</v>
      </c>
      <c r="F98" s="7">
        <v>0.19453984960838488</v>
      </c>
      <c r="G98" s="7">
        <v>0.1919873551582548</v>
      </c>
      <c r="H98" s="7">
        <v>0.11133766988640383</v>
      </c>
      <c r="I98" s="13">
        <v>0.51</v>
      </c>
      <c r="J98" s="13">
        <v>0.6139417406790089</v>
      </c>
      <c r="K98" s="13">
        <v>1.2679967141776909</v>
      </c>
      <c r="L98" s="13">
        <v>29.23305202614891</v>
      </c>
      <c r="M98" s="13">
        <v>5.299741628231465</v>
      </c>
      <c r="N98" s="13">
        <v>0.1413182662526695</v>
      </c>
      <c r="O98" s="13">
        <v>2.768863355564435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6" t="s">
        <v>148</v>
      </c>
      <c r="C99" s="7">
        <v>0.15152297899779166</v>
      </c>
      <c r="D99" s="7">
        <v>0.12986187551214412</v>
      </c>
      <c r="E99" s="7">
        <v>0.014593094779207894</v>
      </c>
      <c r="F99" s="7">
        <v>0.06729996580307221</v>
      </c>
      <c r="G99" s="7">
        <v>0.11355771580546412</v>
      </c>
      <c r="H99" s="7">
        <v>0.012907993308156947</v>
      </c>
      <c r="I99" s="13">
        <v>0.09</v>
      </c>
      <c r="J99" s="13">
        <v>7.469093631266762</v>
      </c>
      <c r="K99" s="13">
        <v>18.648269262452505</v>
      </c>
      <c r="L99" s="13">
        <v>1.3974479131404984</v>
      </c>
      <c r="M99" s="13">
        <v>17.875819601496847</v>
      </c>
      <c r="N99" s="13">
        <v>-0.27172922647252</v>
      </c>
      <c r="O99" s="13">
        <v>0.7850486598613359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6" t="s">
        <v>17</v>
      </c>
      <c r="C100" s="7">
        <v>0.13971131856599683</v>
      </c>
      <c r="D100" s="7">
        <v>0.22809345051368068</v>
      </c>
      <c r="E100" s="7">
        <v>0.1998000239375637</v>
      </c>
      <c r="F100" s="7">
        <v>0.16969733495348627</v>
      </c>
      <c r="G100" s="7">
        <v>0.13269318630734608</v>
      </c>
      <c r="H100" s="7">
        <v>0.11159984717051012</v>
      </c>
      <c r="I100" s="13">
        <v>0.07</v>
      </c>
      <c r="J100" s="13">
        <v>0.008406275450057316</v>
      </c>
      <c r="K100" s="13">
        <v>0.12014504844235775</v>
      </c>
      <c r="L100" s="13">
        <v>144.31239973691027</v>
      </c>
      <c r="M100" s="13">
        <v>85.94910097022907</v>
      </c>
      <c r="N100" s="13">
        <v>-16.471425033660836</v>
      </c>
      <c r="O100" s="13">
        <v>3.3592844959317807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6" t="s">
        <v>16</v>
      </c>
      <c r="C101" s="7">
        <v>0.09727838646838127</v>
      </c>
      <c r="D101" s="7">
        <v>0.07866932944923355</v>
      </c>
      <c r="E101" s="7">
        <v>0.07253938195536458</v>
      </c>
      <c r="F101" s="7">
        <v>0.35593647573255827</v>
      </c>
      <c r="G101" s="7">
        <v>0.2746865060585604</v>
      </c>
      <c r="H101" s="7">
        <v>0.2056014548667788</v>
      </c>
      <c r="I101" s="13">
        <v>1.14</v>
      </c>
      <c r="J101" s="13">
        <v>0.05138907040218358</v>
      </c>
      <c r="K101" s="13">
        <v>0.13540598722798966</v>
      </c>
      <c r="L101" s="13">
        <v>182.36840160731742</v>
      </c>
      <c r="M101" s="13">
        <v>19.150782545747635</v>
      </c>
      <c r="N101" s="13">
        <v>-4.134070979787987</v>
      </c>
      <c r="O101" s="13">
        <v>7.469633862730729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6" t="s">
        <v>144</v>
      </c>
      <c r="C102" s="7">
        <v>0.17476943251395327</v>
      </c>
      <c r="D102" s="7">
        <v>0.19020613745468995</v>
      </c>
      <c r="E102" s="7">
        <v>0.13828738350292347</v>
      </c>
      <c r="F102" s="7">
        <v>0.12203170698323706</v>
      </c>
      <c r="G102" s="7">
        <v>-8.377589982352726</v>
      </c>
      <c r="H102" s="7">
        <v>0.01134048475679167</v>
      </c>
      <c r="I102" s="13">
        <v>0.82</v>
      </c>
      <c r="J102" s="13">
        <v>49.653606569767156</v>
      </c>
      <c r="K102" s="13">
        <v>1390.3100068837962</v>
      </c>
      <c r="L102" s="13">
        <v>2.1617736550928663</v>
      </c>
      <c r="M102" s="13">
        <v>13.622575415930283</v>
      </c>
      <c r="N102" s="13">
        <v>-2.414750911057141</v>
      </c>
      <c r="O102" s="13">
        <v>21.237925387888428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6" t="s">
        <v>132</v>
      </c>
      <c r="C103" s="7">
        <v>0.06226853700767965</v>
      </c>
      <c r="D103" s="7">
        <v>0.1368602771663232</v>
      </c>
      <c r="E103" s="7">
        <v>0.34395111211422447</v>
      </c>
      <c r="F103" s="7">
        <v>0.09787075188388433</v>
      </c>
      <c r="G103" s="7">
        <v>0.12215588836861307</v>
      </c>
      <c r="H103" s="7">
        <v>0.043927072953546226</v>
      </c>
      <c r="I103" s="13">
        <v>0.15</v>
      </c>
      <c r="J103" s="13">
        <v>1.6722168702651006</v>
      </c>
      <c r="K103" s="13">
        <v>14.361737907263985</v>
      </c>
      <c r="L103" s="13">
        <v>3.206898784033555</v>
      </c>
      <c r="M103" s="13">
        <v>41.07180939843437</v>
      </c>
      <c r="N103" s="13">
        <v>0.0076335727831906225</v>
      </c>
      <c r="O103" s="13">
        <v>1.8555217032185722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6" t="s">
        <v>143</v>
      </c>
      <c r="C104" s="7">
        <v>0.0</v>
      </c>
      <c r="D104" s="7">
        <v>0.0</v>
      </c>
      <c r="E104" s="7">
        <v>0.0</v>
      </c>
      <c r="F104" s="7">
        <v>0.0748734264172474</v>
      </c>
      <c r="G104" s="7">
        <v>0.05427842563904253</v>
      </c>
      <c r="H104" s="7">
        <v>0.04736508605256312</v>
      </c>
      <c r="I104" s="13">
        <v>0.84</v>
      </c>
      <c r="J104" s="13">
        <v>0.012850394453672741</v>
      </c>
      <c r="K104" s="13">
        <v>0.13577947504709098</v>
      </c>
      <c r="L104" s="13">
        <v>23.509441701766</v>
      </c>
      <c r="M104" s="13">
        <v>32.366926968351606</v>
      </c>
      <c r="N104" s="13">
        <v>0.0</v>
      </c>
      <c r="O104" s="13">
        <v>3.7206266790247717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6" t="s">
        <v>24</v>
      </c>
      <c r="C105" s="7">
        <v>0.0660081393795513</v>
      </c>
      <c r="D105" s="7">
        <v>0.05699282209681211</v>
      </c>
      <c r="E105" s="7">
        <v>0.1420057045594234</v>
      </c>
      <c r="F105" s="7">
        <v>0.3602295824644554</v>
      </c>
      <c r="G105" s="7">
        <v>0.27104705032834786</v>
      </c>
      <c r="H105" s="7">
        <v>0.2234647205801987</v>
      </c>
      <c r="I105" s="13">
        <v>0.31</v>
      </c>
      <c r="J105" s="13">
        <v>0.0031530583295725093</v>
      </c>
      <c r="K105" s="13">
        <v>0.010335824649925373</v>
      </c>
      <c r="L105" s="13">
        <v>435.7273702451413</v>
      </c>
      <c r="M105" s="13">
        <v>21.313157258754078</v>
      </c>
      <c r="N105" s="13">
        <v>0.2025245824396263</v>
      </c>
      <c r="O105" s="13">
        <v>7.551755379296715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6" t="s">
        <v>110</v>
      </c>
      <c r="C106" s="7">
        <v>0.13567032919915234</v>
      </c>
      <c r="D106" s="7">
        <v>0.13889947828555593</v>
      </c>
      <c r="E106" s="7">
        <v>0.0</v>
      </c>
      <c r="F106" s="7">
        <v>0.10699191974365169</v>
      </c>
      <c r="G106" s="7">
        <v>0.06957076234064914</v>
      </c>
      <c r="H106" s="7">
        <v>0.03954420498768809</v>
      </c>
      <c r="I106" s="13">
        <v>0.61</v>
      </c>
      <c r="J106" s="13">
        <v>0.6005123131219526</v>
      </c>
      <c r="K106" s="13">
        <v>2.9306313449933747</v>
      </c>
      <c r="L106" s="13">
        <v>4.234876883363971</v>
      </c>
      <c r="M106" s="13">
        <v>10.820449443467542</v>
      </c>
      <c r="N106" s="13">
        <v>-0.8202971448107456</v>
      </c>
      <c r="O106" s="13">
        <v>1.8701438040048735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6" t="s">
        <v>206</v>
      </c>
      <c r="C107" s="7">
        <v>0.0</v>
      </c>
      <c r="D107" s="7">
        <v>0.0</v>
      </c>
      <c r="E107" s="7">
        <v>0.0</v>
      </c>
      <c r="F107" s="7">
        <v>0.044636158400586705</v>
      </c>
      <c r="G107" s="7">
        <v>0.02146337736044103</v>
      </c>
      <c r="H107" s="7">
        <v>0.023291940273908022</v>
      </c>
      <c r="I107" s="13">
        <v>0.01</v>
      </c>
      <c r="J107" s="13">
        <v>0.8660997437648273</v>
      </c>
      <c r="K107" s="13">
        <v>2.4017038721373303</v>
      </c>
      <c r="L107" s="13">
        <v>11.956974242753668</v>
      </c>
      <c r="M107" s="13">
        <v>227.69229770545726</v>
      </c>
      <c r="N107" s="13">
        <v>6.051156419415767</v>
      </c>
      <c r="O107" s="13">
        <v>5.785121758814927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6" t="s">
        <v>204</v>
      </c>
      <c r="C108" s="7">
        <v>-0.03897924478771664</v>
      </c>
      <c r="D108" s="7">
        <v>-0.056795360082510515</v>
      </c>
      <c r="E108" s="7">
        <v>0.0032455610891719555</v>
      </c>
      <c r="F108" s="7">
        <v>0.05633608280390255</v>
      </c>
      <c r="G108" s="7">
        <v>0.03157760133003717</v>
      </c>
      <c r="H108" s="7">
        <v>0.021269280964954937</v>
      </c>
      <c r="I108" s="13">
        <v>0.16</v>
      </c>
      <c r="J108" s="13">
        <v>0.3162286068276915</v>
      </c>
      <c r="K108" s="13">
        <v>3.873858805196761</v>
      </c>
      <c r="L108" s="13">
        <v>3.2347810536572372</v>
      </c>
      <c r="M108" s="13">
        <v>85.14402618929225</v>
      </c>
      <c r="N108" s="13">
        <v>3.6811496722288672</v>
      </c>
      <c r="O108" s="13">
        <v>4.228040638841655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6" t="s">
        <v>111</v>
      </c>
      <c r="C109" s="7">
        <v>0.13277844210417422</v>
      </c>
      <c r="D109" s="7">
        <v>0.1126367511874975</v>
      </c>
      <c r="E109" s="7">
        <v>0.0</v>
      </c>
      <c r="F109" s="7">
        <v>0.14595016844922817</v>
      </c>
      <c r="G109" s="7">
        <v>0.15377586384830833</v>
      </c>
      <c r="H109" s="7">
        <v>0.05389158359251278</v>
      </c>
      <c r="I109" s="13">
        <v>0.72</v>
      </c>
      <c r="J109" s="13">
        <v>1.1265076886416803</v>
      </c>
      <c r="K109" s="13">
        <v>3.0321160667653873</v>
      </c>
      <c r="L109" s="13">
        <v>3.4172279111004245</v>
      </c>
      <c r="M109" s="13">
        <v>17.177739618769916</v>
      </c>
      <c r="N109" s="13">
        <v>-1.6251423719765052</v>
      </c>
      <c r="O109" s="13">
        <v>3.256623454702589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6" t="s">
        <v>117</v>
      </c>
      <c r="C110" s="7">
        <v>0.0973893239943231</v>
      </c>
      <c r="D110" s="7">
        <v>0.15888691017343737</v>
      </c>
      <c r="E110" s="7">
        <v>0.061730297467355255</v>
      </c>
      <c r="F110" s="7">
        <v>0.18737817359753448</v>
      </c>
      <c r="G110" s="7">
        <v>0.16433440515115375</v>
      </c>
      <c r="H110" s="7">
        <v>0.08050523261524761</v>
      </c>
      <c r="I110" s="13">
        <v>0.99</v>
      </c>
      <c r="J110" s="13">
        <v>1.1753126800960902</v>
      </c>
      <c r="K110" s="13">
        <v>2.107458916502854</v>
      </c>
      <c r="L110" s="13">
        <v>3.105727942253031</v>
      </c>
      <c r="M110" s="13">
        <v>39.08691464435146</v>
      </c>
      <c r="N110" s="13">
        <v>-13.261006641156557</v>
      </c>
      <c r="O110" s="13">
        <v>19.302991857602727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6" t="s">
        <v>130</v>
      </c>
      <c r="C111" s="7">
        <v>0.10523349705864549</v>
      </c>
      <c r="D111" s="7">
        <v>0.1967806460601509</v>
      </c>
      <c r="E111" s="7">
        <v>0.39554205502961404</v>
      </c>
      <c r="F111" s="7">
        <v>0.11497218781713209</v>
      </c>
      <c r="G111" s="7">
        <v>0.08237572271187557</v>
      </c>
      <c r="H111" s="7">
        <v>0.029395829669628577</v>
      </c>
      <c r="I111" s="13">
        <v>1.79</v>
      </c>
      <c r="J111" s="13">
        <v>1.000993932232638</v>
      </c>
      <c r="K111" s="13">
        <v>4.010243973367632</v>
      </c>
      <c r="L111" s="13">
        <v>2.3347315555552286</v>
      </c>
      <c r="M111" s="13">
        <v>38.704933940150504</v>
      </c>
      <c r="N111" s="13">
        <v>2.8990406602974854</v>
      </c>
      <c r="O111" s="13">
        <v>10.087825448060185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6" t="s">
        <v>42</v>
      </c>
      <c r="C112" s="7">
        <v>0.15394309524722072</v>
      </c>
      <c r="D112" s="7">
        <v>0.15127542374906677</v>
      </c>
      <c r="E112" s="7">
        <v>0.27323175443066505</v>
      </c>
      <c r="F112" s="7">
        <v>0.22648224978557302</v>
      </c>
      <c r="G112" s="7">
        <v>0.18477853329518398</v>
      </c>
      <c r="H112" s="7">
        <v>0.08916438721786164</v>
      </c>
      <c r="I112" s="13">
        <v>1.64</v>
      </c>
      <c r="J112" s="13">
        <v>0.5195926357743873</v>
      </c>
      <c r="K112" s="13">
        <v>1.0645425339088068</v>
      </c>
      <c r="L112" s="13">
        <v>9.824076353461642</v>
      </c>
      <c r="M112" s="13">
        <v>26.194363041898743</v>
      </c>
      <c r="N112" s="13">
        <v>3.0347472194193243</v>
      </c>
      <c r="O112" s="13">
        <v>4.779958691613015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6" t="s">
        <v>165</v>
      </c>
      <c r="C113" s="7">
        <v>0.1243959973191664</v>
      </c>
      <c r="D113" s="7">
        <v>0.11997766749734406</v>
      </c>
      <c r="E113" s="7">
        <v>0.229155849847122</v>
      </c>
      <c r="F113" s="7">
        <v>0.06281749385399589</v>
      </c>
      <c r="G113" s="7">
        <v>0.12373521290795592</v>
      </c>
      <c r="H113" s="7">
        <v>0.018948105979778036</v>
      </c>
      <c r="I113" s="13">
        <v>0.08</v>
      </c>
      <c r="J113" s="13">
        <v>5.373369404978324</v>
      </c>
      <c r="K113" s="13">
        <v>17.88131324508091</v>
      </c>
      <c r="L113" s="13">
        <v>1.7945855480082358</v>
      </c>
      <c r="M113" s="13">
        <v>30.04725125048505</v>
      </c>
      <c r="N113" s="13">
        <v>1.356525131645943</v>
      </c>
      <c r="O113" s="13">
        <v>3.682006047600351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6" t="s">
        <v>164</v>
      </c>
      <c r="C114" s="7">
        <v>0.0</v>
      </c>
      <c r="D114" s="7">
        <v>0.0</v>
      </c>
      <c r="E114" s="7">
        <v>0.0</v>
      </c>
      <c r="F114" s="7">
        <v>0.3799497290177819</v>
      </c>
      <c r="G114" s="7">
        <v>0.3512976032433999</v>
      </c>
      <c r="H114" s="7">
        <v>-0.2603681034765275</v>
      </c>
      <c r="I114" s="13">
        <v>1.28</v>
      </c>
      <c r="J114" s="13">
        <v>0.08361068095569538</v>
      </c>
      <c r="K114" s="13">
        <v>0.47774240858371</v>
      </c>
      <c r="L114" s="13">
        <v>26.0372121637945</v>
      </c>
      <c r="M114" s="13">
        <v>51.901282069865225</v>
      </c>
      <c r="N114" s="13">
        <v>1.5681711957825752</v>
      </c>
      <c r="O114" s="13">
        <v>18.360540458844383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6" t="s">
        <v>107</v>
      </c>
      <c r="C115" s="7">
        <v>0.43602026123857907</v>
      </c>
      <c r="D115" s="7">
        <v>0.37566226525391166</v>
      </c>
      <c r="E115" s="7">
        <v>0.2134975057142774</v>
      </c>
      <c r="F115" s="7">
        <v>0.054656916876444445</v>
      </c>
      <c r="G115" s="7">
        <v>0.05392184603100129</v>
      </c>
      <c r="H115" s="7">
        <v>0.023161023073428082</v>
      </c>
      <c r="I115" s="13">
        <v>0.14</v>
      </c>
      <c r="J115" s="13">
        <v>1.3858401302901453</v>
      </c>
      <c r="K115" s="13">
        <v>7.165304279772237</v>
      </c>
      <c r="L115" s="13">
        <v>2.7852788824979675</v>
      </c>
      <c r="M115" s="13">
        <v>12.506633343914196</v>
      </c>
      <c r="N115" s="13">
        <v>1.026330286000856</v>
      </c>
      <c r="O115" s="13">
        <v>1.511258389102548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6" t="s">
        <v>153</v>
      </c>
      <c r="C116" s="7">
        <v>0.08474624053830326</v>
      </c>
      <c r="D116" s="7">
        <v>0.07976145318631778</v>
      </c>
      <c r="E116" s="7">
        <v>0.08076800347021473</v>
      </c>
      <c r="F116" s="7">
        <v>0.1546913880325342</v>
      </c>
      <c r="G116" s="7">
        <v>0.1355388053832981</v>
      </c>
      <c r="H116" s="7">
        <v>0.053853894148833695</v>
      </c>
      <c r="I116" s="13">
        <v>0.71</v>
      </c>
      <c r="J116" s="13">
        <v>0.3117413583582013</v>
      </c>
      <c r="K116" s="13">
        <v>2.1423968216881057</v>
      </c>
      <c r="L116" s="13">
        <v>5.916668359493251</v>
      </c>
      <c r="M116" s="13">
        <v>37.46591405418084</v>
      </c>
      <c r="N116" s="13">
        <v>2.68507753260758</v>
      </c>
      <c r="O116" s="13">
        <v>6.679956670650209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6" t="s">
        <v>160</v>
      </c>
      <c r="C117" s="7">
        <v>0.08443600372279958</v>
      </c>
      <c r="D117" s="7">
        <v>0.08356901757355706</v>
      </c>
      <c r="E117" s="7">
        <v>0.12574667274543083</v>
      </c>
      <c r="F117" s="7">
        <v>0.08267271734450164</v>
      </c>
      <c r="G117" s="7">
        <v>0.13673723879495953</v>
      </c>
      <c r="H117" s="7">
        <v>0.01248141743447743</v>
      </c>
      <c r="I117" s="13">
        <v>0.09</v>
      </c>
      <c r="J117" s="13">
        <v>9.64260779191589</v>
      </c>
      <c r="K117" s="13">
        <v>11.021740610118677</v>
      </c>
      <c r="L117" s="13">
        <v>1.2608805863522712</v>
      </c>
      <c r="M117" s="13">
        <v>11.343280690472135</v>
      </c>
      <c r="N117" s="13">
        <v>0.4102713006130054</v>
      </c>
      <c r="O117" s="13">
        <v>0.8554920900311611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6" t="s">
        <v>77</v>
      </c>
      <c r="C118" s="7">
        <v>0.0</v>
      </c>
      <c r="D118" s="7">
        <v>0.0</v>
      </c>
      <c r="E118" s="7">
        <v>0.0</v>
      </c>
      <c r="F118" s="7">
        <v>6.963171507654053</v>
      </c>
      <c r="G118" s="7">
        <v>1.9545006790020787</v>
      </c>
      <c r="H118" s="7">
        <v>0.003267911430254009</v>
      </c>
      <c r="I118" s="13">
        <v>0.16</v>
      </c>
      <c r="J118" s="13">
        <v>0.0</v>
      </c>
      <c r="K118" s="13">
        <v>0.0</v>
      </c>
      <c r="L118" s="13">
        <v>208.18156141206694</v>
      </c>
      <c r="M118" s="13">
        <v>8.345160599898236</v>
      </c>
      <c r="N118" s="13">
        <v>0.5713741019623633</v>
      </c>
      <c r="O118" s="13">
        <v>4.006890843753918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6" t="s">
        <v>179</v>
      </c>
      <c r="C119" s="7">
        <v>0.06951843653875645</v>
      </c>
      <c r="D119" s="7">
        <v>0.08464811229007196</v>
      </c>
      <c r="E119" s="7">
        <v>0.1338682957354116</v>
      </c>
      <c r="F119" s="7">
        <v>0.07575354371106695</v>
      </c>
      <c r="G119" s="7">
        <v>0.1001733245449786</v>
      </c>
      <c r="H119" s="7">
        <v>0.0205352773727643</v>
      </c>
      <c r="I119" s="13">
        <v>0.28</v>
      </c>
      <c r="J119" s="13">
        <v>2.360361813550319</v>
      </c>
      <c r="K119" s="13">
        <v>7.813747984471751</v>
      </c>
      <c r="L119" s="13">
        <v>3.432744410739734</v>
      </c>
      <c r="M119" s="13">
        <v>33.605065974359654</v>
      </c>
      <c r="N119" s="13">
        <v>0.4604415796872873</v>
      </c>
      <c r="O119" s="13">
        <v>6.244464870863389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6" t="s">
        <v>8</v>
      </c>
      <c r="C120" s="7">
        <v>0.20745810274729126</v>
      </c>
      <c r="D120" s="7">
        <v>0.20886024337295983</v>
      </c>
      <c r="E120" s="7">
        <v>0.1790828087440295</v>
      </c>
      <c r="F120" s="7">
        <v>0.3617983682099377</v>
      </c>
      <c r="G120" s="7">
        <v>0.2753736071069705</v>
      </c>
      <c r="H120" s="7">
        <v>0.1960936484556305</v>
      </c>
      <c r="I120" s="13">
        <v>1.31</v>
      </c>
      <c r="J120" s="13">
        <v>0.09801478756445774</v>
      </c>
      <c r="K120" s="13">
        <v>0.32712497544842334</v>
      </c>
      <c r="L120" s="13">
        <v>126.15324811020845</v>
      </c>
      <c r="M120" s="13">
        <v>21.42796487787484</v>
      </c>
      <c r="N120" s="13">
        <v>-32.82535015103951</v>
      </c>
      <c r="O120" s="13">
        <v>6.094993633811333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6" t="s">
        <v>96</v>
      </c>
      <c r="C121" s="7">
        <v>0.04108465326437494</v>
      </c>
      <c r="D121" s="7">
        <v>0.030682018443224157</v>
      </c>
      <c r="E121" s="7">
        <v>0.03447363526372005</v>
      </c>
      <c r="F121" s="7">
        <v>0.11611243167147117</v>
      </c>
      <c r="G121" s="7">
        <v>0.08736590548994688</v>
      </c>
      <c r="H121" s="7">
        <v>0.07358339499433113</v>
      </c>
      <c r="I121" s="13">
        <v>0.86</v>
      </c>
      <c r="J121" s="13">
        <v>0.019610290485700933</v>
      </c>
      <c r="K121" s="13">
        <v>0.6369753599266</v>
      </c>
      <c r="L121" s="13">
        <v>49.00029438946378</v>
      </c>
      <c r="M121" s="13">
        <v>17.128571613970163</v>
      </c>
      <c r="N121" s="13">
        <v>0.33076245100800145</v>
      </c>
      <c r="O121" s="13">
        <v>3.813958384133282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6" t="s">
        <v>150</v>
      </c>
      <c r="C122" s="7">
        <v>0.1053543888015569</v>
      </c>
      <c r="D122" s="7">
        <v>0.11780585492112472</v>
      </c>
      <c r="E122" s="7">
        <v>0.13302628435578834</v>
      </c>
      <c r="F122" s="7">
        <v>0.08350104091149808</v>
      </c>
      <c r="G122" s="7">
        <v>0.09039716194253199</v>
      </c>
      <c r="H122" s="7">
        <v>0.015027997045541894</v>
      </c>
      <c r="I122" s="13">
        <v>0.14</v>
      </c>
      <c r="J122" s="13">
        <v>4.709788333011921</v>
      </c>
      <c r="K122" s="13">
        <v>9.750833573584838</v>
      </c>
      <c r="L122" s="13">
        <v>1.3811153878169817</v>
      </c>
      <c r="M122" s="13">
        <v>12.876627677571058</v>
      </c>
      <c r="N122" s="13">
        <v>0.49058778702856987</v>
      </c>
      <c r="O122" s="13">
        <v>1.9318895449931683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6" t="s">
        <v>67</v>
      </c>
      <c r="C123" s="7">
        <v>0.11242720066237788</v>
      </c>
      <c r="D123" s="7">
        <v>0.1482982896440752</v>
      </c>
      <c r="E123" s="7">
        <v>0.13975900728480095</v>
      </c>
      <c r="F123" s="7">
        <v>0.16589542023215995</v>
      </c>
      <c r="G123" s="7">
        <v>0.12903530367687188</v>
      </c>
      <c r="H123" s="7">
        <v>0.08021582622904626</v>
      </c>
      <c r="I123" s="13">
        <v>0.62</v>
      </c>
      <c r="J123" s="13">
        <v>0.10542356917234762</v>
      </c>
      <c r="K123" s="13">
        <v>0.5264675844050535</v>
      </c>
      <c r="L123" s="13">
        <v>44.15151819900184</v>
      </c>
      <c r="M123" s="13">
        <v>17.506093779696457</v>
      </c>
      <c r="N123" s="13">
        <v>2.45395003433268</v>
      </c>
      <c r="O123" s="13">
        <v>5.382669346968666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6" t="s">
        <v>154</v>
      </c>
      <c r="C124" s="7">
        <v>0.0</v>
      </c>
      <c r="D124" s="7">
        <v>0.0</v>
      </c>
      <c r="E124" s="7">
        <v>0.0</v>
      </c>
      <c r="F124" s="7">
        <v>0.24886570723202228</v>
      </c>
      <c r="G124" s="7">
        <v>0.1987410315791139</v>
      </c>
      <c r="H124" s="7">
        <v>0.1544705475571878</v>
      </c>
      <c r="I124" s="13">
        <v>0.62</v>
      </c>
      <c r="J124" s="13">
        <v>0.10097616086276776</v>
      </c>
      <c r="K124" s="13">
        <v>0.502466890240479</v>
      </c>
      <c r="L124" s="13">
        <v>75.39089666037525</v>
      </c>
      <c r="M124" s="13">
        <v>41.67352244665851</v>
      </c>
      <c r="N124" s="13">
        <v>75.74260953663139</v>
      </c>
      <c r="O124" s="13">
        <v>6.833561471202375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6" t="s">
        <v>80</v>
      </c>
      <c r="C125" s="7">
        <v>0.045445357452364776</v>
      </c>
      <c r="D125" s="7">
        <v>0.05740772895307056</v>
      </c>
      <c r="E125" s="7">
        <v>0.0834680801375507</v>
      </c>
      <c r="F125" s="7">
        <v>0.38340772126754685</v>
      </c>
      <c r="G125" s="7">
        <v>0.32069776813605394</v>
      </c>
      <c r="H125" s="7">
        <v>0.23252874841250204</v>
      </c>
      <c r="I125" s="13">
        <v>1.39</v>
      </c>
      <c r="J125" s="13">
        <v>0.05252116322550962</v>
      </c>
      <c r="K125" s="13">
        <v>0.1503628254366302</v>
      </c>
      <c r="L125" s="13">
        <v>64.5260153193789</v>
      </c>
      <c r="M125" s="13">
        <v>58.36111628709455</v>
      </c>
      <c r="N125" s="13">
        <v>1.2801233515086423</v>
      </c>
      <c r="O125" s="13">
        <v>17.72438746588285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6" t="s">
        <v>46</v>
      </c>
      <c r="C126" s="7">
        <v>0.10194585164573544</v>
      </c>
      <c r="D126" s="7">
        <v>0.07049698886357492</v>
      </c>
      <c r="E126" s="7">
        <v>0.10032834491412213</v>
      </c>
      <c r="F126" s="7">
        <v>0.18727697055437897</v>
      </c>
      <c r="G126" s="7">
        <v>0.13964997804871135</v>
      </c>
      <c r="H126" s="7">
        <v>0.10247076929497884</v>
      </c>
      <c r="I126" s="13">
        <v>1.24</v>
      </c>
      <c r="J126" s="13">
        <v>0.007072250770679982</v>
      </c>
      <c r="K126" s="13">
        <v>0.04312387436927207</v>
      </c>
      <c r="L126" s="13">
        <v>74.7819654143563</v>
      </c>
      <c r="M126" s="13">
        <v>20.301384854451722</v>
      </c>
      <c r="N126" s="13">
        <v>4.597700840715825</v>
      </c>
      <c r="O126" s="13">
        <v>3.851877801134968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6" t="s">
        <v>155</v>
      </c>
      <c r="C127" s="7">
        <v>-0.22398164486645955</v>
      </c>
      <c r="D127" s="7">
        <v>0.0</v>
      </c>
      <c r="E127" s="7">
        <v>0.0</v>
      </c>
      <c r="F127" s="7">
        <v>0.04581977176171379</v>
      </c>
      <c r="G127" s="7">
        <v>0.036953659240436004</v>
      </c>
      <c r="H127" s="7">
        <v>0.03465231272009374</v>
      </c>
      <c r="I127" s="13">
        <v>0.26</v>
      </c>
      <c r="J127" s="13">
        <v>4.405450428481619E-4</v>
      </c>
      <c r="K127" s="13">
        <v>-0.027367338278843214</v>
      </c>
      <c r="L127" s="13">
        <v>514.2631409205328</v>
      </c>
      <c r="M127" s="13">
        <v>-5058.158184143224</v>
      </c>
      <c r="N127" s="13">
        <v>23.562431689532183</v>
      </c>
      <c r="O127" s="13">
        <v>5.8739968173411885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6" t="s">
        <v>175</v>
      </c>
      <c r="C128" s="7">
        <v>0.11308754950143585</v>
      </c>
      <c r="D128" s="7">
        <v>0.43523997237715073</v>
      </c>
      <c r="E128" s="7">
        <v>0.0</v>
      </c>
      <c r="F128" s="7">
        <v>0.046689158544100606</v>
      </c>
      <c r="G128" s="7">
        <v>0.027532478436900168</v>
      </c>
      <c r="H128" s="7">
        <v>0.0238271761099321</v>
      </c>
      <c r="I128" s="13">
        <v>0.52</v>
      </c>
      <c r="J128" s="13">
        <v>0.1602905478635544</v>
      </c>
      <c r="K128" s="13">
        <v>-5.425304652344428</v>
      </c>
      <c r="L128" s="13">
        <v>6.682147436097569</v>
      </c>
      <c r="M128" s="13">
        <v>128.1877986296932</v>
      </c>
      <c r="N128" s="13">
        <v>76.49333836749469</v>
      </c>
      <c r="O128" s="13">
        <v>12.864022011349489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6" t="s">
        <v>40</v>
      </c>
      <c r="C129" s="7">
        <v>0.10725509518197995</v>
      </c>
      <c r="D129" s="7">
        <v>0.2525220958361598</v>
      </c>
      <c r="E129" s="7">
        <v>0.15124706266302068</v>
      </c>
      <c r="F129" s="7">
        <v>0.3231939589633453</v>
      </c>
      <c r="G129" s="7">
        <v>0.22025443260712615</v>
      </c>
      <c r="H129" s="7">
        <v>0.03558970483635768</v>
      </c>
      <c r="I129" s="13">
        <v>0.39</v>
      </c>
      <c r="J129" s="13">
        <v>0.004182654162521416</v>
      </c>
      <c r="K129" s="13">
        <v>0.03729025246213307</v>
      </c>
      <c r="L129" s="13">
        <v>127.7795046640511</v>
      </c>
      <c r="M129" s="13">
        <v>43.81661051734823</v>
      </c>
      <c r="N129" s="13">
        <v>1.7657052328736644</v>
      </c>
      <c r="O129" s="13">
        <v>14.852147102567391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6" t="s">
        <v>36</v>
      </c>
      <c r="C130" s="7">
        <v>0.47378691729457056</v>
      </c>
      <c r="D130" s="7">
        <v>0.39325241629739605</v>
      </c>
      <c r="E130" s="7">
        <v>0.4039927120531399</v>
      </c>
      <c r="F130" s="7">
        <v>0.13704979840815057</v>
      </c>
      <c r="G130" s="7">
        <v>0.15988019096810308</v>
      </c>
      <c r="H130" s="7">
        <v>0.06223333949453506</v>
      </c>
      <c r="I130" s="13">
        <v>0.25</v>
      </c>
      <c r="J130" s="13">
        <v>0.7315234619680525</v>
      </c>
      <c r="K130" s="13">
        <v>3.050042491254003</v>
      </c>
      <c r="L130" s="13">
        <v>6.537718777130548</v>
      </c>
      <c r="M130" s="13">
        <v>14.741417791455063</v>
      </c>
      <c r="N130" s="13">
        <v>-3.7018867385888328</v>
      </c>
      <c r="O130" s="13">
        <v>5.181761855984442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6" t="s">
        <v>30</v>
      </c>
      <c r="C131" s="7">
        <v>0.12232982171167417</v>
      </c>
      <c r="D131" s="7">
        <v>0.1482007709408082</v>
      </c>
      <c r="E131" s="7">
        <v>0.1285882103999283</v>
      </c>
      <c r="F131" s="7">
        <v>0.3089165064006678</v>
      </c>
      <c r="G131" s="7">
        <v>0.24440434925138504</v>
      </c>
      <c r="H131" s="7">
        <v>0.17884783346497599</v>
      </c>
      <c r="I131" s="13">
        <v>0.99</v>
      </c>
      <c r="J131" s="13">
        <v>0.054947263764406465</v>
      </c>
      <c r="K131" s="13">
        <v>0.1653775553573445</v>
      </c>
      <c r="L131" s="13">
        <v>93.05273467551784</v>
      </c>
      <c r="M131" s="13">
        <v>22.41285440265678</v>
      </c>
      <c r="N131" s="13">
        <v>5.788502726584865</v>
      </c>
      <c r="O131" s="13">
        <v>7.545475934198872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6" t="s">
        <v>123</v>
      </c>
      <c r="C132" s="7">
        <v>0.03356195004650675</v>
      </c>
      <c r="D132" s="7">
        <v>-0.00991198446338204</v>
      </c>
      <c r="E132" s="7">
        <v>-0.030093809844555897</v>
      </c>
      <c r="F132" s="7">
        <v>0.13799344747845815</v>
      </c>
      <c r="G132" s="7">
        <v>0.1027953847585466</v>
      </c>
      <c r="H132" s="7">
        <v>0.06175024455401534</v>
      </c>
      <c r="I132" s="13">
        <v>1.0</v>
      </c>
      <c r="J132" s="13">
        <v>0.15831882851078513</v>
      </c>
      <c r="K132" s="13">
        <v>0.7587594835748664</v>
      </c>
      <c r="L132" s="13">
        <v>7.232964117360404</v>
      </c>
      <c r="M132" s="13">
        <v>12.497983784479436</v>
      </c>
      <c r="N132" s="13">
        <v>-2.4265415728015807</v>
      </c>
      <c r="O132" s="13">
        <v>2.603707828015935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6" t="s">
        <v>98</v>
      </c>
      <c r="C133" s="7">
        <v>0.13370650774726944</v>
      </c>
      <c r="D133" s="7">
        <v>0.14071971574123032</v>
      </c>
      <c r="E133" s="7">
        <v>0.20443184607599685</v>
      </c>
      <c r="F133" s="7">
        <v>0.1372698436794234</v>
      </c>
      <c r="G133" s="7">
        <v>0.20501684585627855</v>
      </c>
      <c r="H133" s="7">
        <v>0.05120117437726617</v>
      </c>
      <c r="I133" s="13">
        <v>0.18</v>
      </c>
      <c r="J133" s="13">
        <v>2.8387721719566468</v>
      </c>
      <c r="K133" s="13">
        <v>5.421269289867708</v>
      </c>
      <c r="L133" s="13">
        <v>2.264764388987999</v>
      </c>
      <c r="M133" s="13">
        <v>13.152698038480919</v>
      </c>
      <c r="N133" s="13">
        <v>0.6471942803498085</v>
      </c>
      <c r="O133" s="13">
        <v>3.364338205300603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6" t="s">
        <v>9</v>
      </c>
      <c r="C134" s="7">
        <v>0.09429749479758676</v>
      </c>
      <c r="D134" s="7">
        <v>0.2363231058730264</v>
      </c>
      <c r="E134" s="7">
        <v>0.21066984905143782</v>
      </c>
      <c r="F134" s="7">
        <v>0.19351599454428298</v>
      </c>
      <c r="G134" s="7">
        <v>0.14247423881702964</v>
      </c>
      <c r="H134" s="7">
        <v>0.10471062758707785</v>
      </c>
      <c r="I134" s="13">
        <v>0.8</v>
      </c>
      <c r="J134" s="13">
        <v>0.006353048789912604</v>
      </c>
      <c r="K134" s="13">
        <v>0.03358493698491151</v>
      </c>
      <c r="L134" s="13">
        <v>377.2014217709834</v>
      </c>
      <c r="M134" s="13">
        <v>3.5682927145244174</v>
      </c>
      <c r="N134" s="13">
        <v>0.03820181304787434</v>
      </c>
      <c r="O134" s="13">
        <v>1.7864495482595357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6" t="s">
        <v>34</v>
      </c>
      <c r="C135" s="7">
        <v>0.08252392753785043</v>
      </c>
      <c r="D135" s="7">
        <v>0.09938682692778356</v>
      </c>
      <c r="E135" s="7">
        <v>0.12715275898271883</v>
      </c>
      <c r="F135" s="7">
        <v>1.160480720041601</v>
      </c>
      <c r="G135" s="7">
        <v>0.9016387401927235</v>
      </c>
      <c r="H135" s="7">
        <v>0.2670325567220219</v>
      </c>
      <c r="I135" s="13">
        <v>1.77</v>
      </c>
      <c r="J135" s="13">
        <v>0.10386532810247844</v>
      </c>
      <c r="K135" s="13">
        <v>0.0725156120744262</v>
      </c>
      <c r="L135" s="13">
        <v>25.187534818548723</v>
      </c>
      <c r="M135" s="13">
        <v>45.70596152435484</v>
      </c>
      <c r="N135" s="13">
        <v>-4.164229987800599</v>
      </c>
      <c r="O135" s="13">
        <v>52.70806878544626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6" t="s">
        <v>173</v>
      </c>
      <c r="C136" s="7">
        <v>0.020352157629087042</v>
      </c>
      <c r="D136" s="7">
        <v>0.0142155396619974</v>
      </c>
      <c r="E136" s="7">
        <v>0.05079671981374667</v>
      </c>
      <c r="F136" s="7">
        <v>0.08005467169789122</v>
      </c>
      <c r="G136" s="7">
        <v>0.09873695018409395</v>
      </c>
      <c r="H136" s="7">
        <v>0.04740529959758791</v>
      </c>
      <c r="I136" s="13">
        <v>0.11</v>
      </c>
      <c r="J136" s="13">
        <v>0.7643112485409272</v>
      </c>
      <c r="K136" s="13">
        <v>5.7225261676042525</v>
      </c>
      <c r="L136" s="13">
        <v>5.867465383452975</v>
      </c>
      <c r="M136" s="13">
        <v>25.370595788503053</v>
      </c>
      <c r="N136" s="13">
        <v>-1.562302414764351</v>
      </c>
      <c r="O136" s="13">
        <v>2.1531466175452065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6" t="s">
        <v>12</v>
      </c>
      <c r="C137" s="7">
        <v>0.13873255421196795</v>
      </c>
      <c r="D137" s="7">
        <v>0.11856275623378632</v>
      </c>
      <c r="E137" s="7">
        <v>0.09452830094655074</v>
      </c>
      <c r="F137" s="7">
        <v>0.30623394635582496</v>
      </c>
      <c r="G137" s="7">
        <v>0.22393486953792266</v>
      </c>
      <c r="H137" s="7">
        <v>0.17410395234866047</v>
      </c>
      <c r="I137" s="13">
        <v>0.62</v>
      </c>
      <c r="J137" s="13">
        <v>0.07438440322299489</v>
      </c>
      <c r="K137" s="13">
        <v>0.2409627441824541</v>
      </c>
      <c r="L137" s="13">
        <v>255.5321445125567</v>
      </c>
      <c r="M137" s="13">
        <v>6.636262618924815</v>
      </c>
      <c r="N137" s="13">
        <v>0.48050356718676845</v>
      </c>
      <c r="O137" s="13">
        <v>2.047612888524969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6" t="s">
        <v>202</v>
      </c>
      <c r="C138" s="7">
        <v>0.0</v>
      </c>
      <c r="D138" s="7">
        <v>0.0</v>
      </c>
      <c r="E138" s="7">
        <v>0.0</v>
      </c>
      <c r="F138" s="7">
        <v>0.047362864530766484</v>
      </c>
      <c r="G138" s="7">
        <v>0.040415630510528856</v>
      </c>
      <c r="H138" s="7">
        <v>0.015545109516203998</v>
      </c>
      <c r="I138" s="13">
        <v>0.06</v>
      </c>
      <c r="J138" s="13">
        <v>0.9416219388215131</v>
      </c>
      <c r="K138" s="13">
        <v>14.262333102935257</v>
      </c>
      <c r="L138" s="13">
        <v>1.9678968368175263</v>
      </c>
      <c r="M138" s="13">
        <v>51.403182050530994</v>
      </c>
      <c r="N138" s="13">
        <v>-16.729999536182408</v>
      </c>
      <c r="O138" s="13">
        <v>4.5858872312227845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6" t="s">
        <v>140</v>
      </c>
      <c r="C139" s="7">
        <v>0.09150127396698271</v>
      </c>
      <c r="D139" s="7">
        <v>0.11261529950610938</v>
      </c>
      <c r="E139" s="7">
        <v>0.061976714200506544</v>
      </c>
      <c r="F139" s="7">
        <v>0.08891726994212994</v>
      </c>
      <c r="G139" s="7">
        <v>0.11176226019634268</v>
      </c>
      <c r="H139" s="7">
        <v>0.041366817603072634</v>
      </c>
      <c r="I139" s="13">
        <v>0.38</v>
      </c>
      <c r="J139" s="13">
        <v>1.3098163669032945</v>
      </c>
      <c r="K139" s="13">
        <v>4.902676176830017</v>
      </c>
      <c r="L139" s="13">
        <v>3.614967792750574</v>
      </c>
      <c r="M139" s="13">
        <v>10.096626596670333</v>
      </c>
      <c r="N139" s="13">
        <v>2.032125583403905</v>
      </c>
      <c r="O139" s="13">
        <v>2.1452166056104116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6" t="s">
        <v>88</v>
      </c>
      <c r="C140" s="7">
        <v>0.1396067872870035</v>
      </c>
      <c r="D140" s="7">
        <v>0.16170939037991494</v>
      </c>
      <c r="E140" s="7">
        <v>0.13521891074921966</v>
      </c>
      <c r="F140" s="7">
        <v>0.10918661202001295</v>
      </c>
      <c r="G140" s="7">
        <v>0.09406068972133712</v>
      </c>
      <c r="H140" s="7">
        <v>0.07080332238720342</v>
      </c>
      <c r="I140" s="13">
        <v>0.25</v>
      </c>
      <c r="J140" s="13">
        <v>0.17240695425751093</v>
      </c>
      <c r="K140" s="13">
        <v>1.7387962250952513</v>
      </c>
      <c r="L140" s="13">
        <v>71.02723295601027</v>
      </c>
      <c r="M140" s="13">
        <v>24.71329204231135</v>
      </c>
      <c r="N140" s="13">
        <v>1.7062830463942722</v>
      </c>
      <c r="O140" s="13">
        <v>4.130035365104118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6" t="s">
        <v>57</v>
      </c>
      <c r="C141" s="7">
        <v>0.05616282650532445</v>
      </c>
      <c r="D141" s="7">
        <v>0.07302432272345105</v>
      </c>
      <c r="E141" s="7">
        <v>0.08234918894014975</v>
      </c>
      <c r="F141" s="7">
        <v>0.1484793676948746</v>
      </c>
      <c r="G141" s="7">
        <v>0.11355528993055998</v>
      </c>
      <c r="H141" s="7">
        <v>0.07828959681702752</v>
      </c>
      <c r="I141" s="13">
        <v>0.82</v>
      </c>
      <c r="J141" s="13">
        <v>0.1065552338259427</v>
      </c>
      <c r="K141" s="13">
        <v>0.5374628136047245</v>
      </c>
      <c r="L141" s="13">
        <v>15.408887709825551</v>
      </c>
      <c r="M141" s="13">
        <v>5.0938248402473505</v>
      </c>
      <c r="N141" s="13">
        <v>-0.7175844811832661</v>
      </c>
      <c r="O141" s="13">
        <v>0.9799858449812664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6" t="s">
        <v>112</v>
      </c>
      <c r="C142" s="7">
        <v>0.07712580510558409</v>
      </c>
      <c r="D142" s="7">
        <v>0.09343379787322381</v>
      </c>
      <c r="E142" s="7">
        <v>0.1026294487500321</v>
      </c>
      <c r="F142" s="7">
        <v>0.11434165257867053</v>
      </c>
      <c r="G142" s="7">
        <v>0.11146874402407717</v>
      </c>
      <c r="H142" s="7">
        <v>0.06883067972142694</v>
      </c>
      <c r="I142" s="13">
        <v>0.32</v>
      </c>
      <c r="J142" s="13">
        <v>0.36717038720818995</v>
      </c>
      <c r="K142" s="13">
        <v>3.2895929319685737</v>
      </c>
      <c r="L142" s="13">
        <v>8.19306917934672</v>
      </c>
      <c r="M142" s="13">
        <v>8.172910986641723</v>
      </c>
      <c r="N142" s="13">
        <v>1.0158063121913972</v>
      </c>
      <c r="O142" s="13">
        <v>1.3845910302432711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6" t="s">
        <v>141</v>
      </c>
      <c r="C143" s="7">
        <v>0.2847870383563331</v>
      </c>
      <c r="D143" s="7">
        <v>-0.014861964242288694</v>
      </c>
      <c r="E143" s="7">
        <v>-0.06286854473683023</v>
      </c>
      <c r="F143" s="7">
        <v>-0.23630513913127826</v>
      </c>
      <c r="G143" s="7">
        <v>-0.25385944030303614</v>
      </c>
      <c r="H143" s="7">
        <v>-0.18835753929000526</v>
      </c>
      <c r="I143" s="13">
        <v>0.34</v>
      </c>
      <c r="J143" s="13">
        <v>0.04216103180369932</v>
      </c>
      <c r="K143" s="13">
        <v>-0.1513405548129051</v>
      </c>
      <c r="L143" s="13">
        <v>-88.06636059631475</v>
      </c>
      <c r="M143" s="13">
        <v>-28.856900371496117</v>
      </c>
      <c r="N143" s="13">
        <v>0.41326349072214885</v>
      </c>
      <c r="O143" s="13">
        <v>3.8812851283963283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6" t="s">
        <v>20</v>
      </c>
      <c r="C144" s="7">
        <v>0.03750739839098993</v>
      </c>
      <c r="D144" s="7">
        <v>0.07341290883623763</v>
      </c>
      <c r="E144" s="7">
        <v>0.14076979410695856</v>
      </c>
      <c r="F144" s="7">
        <v>0.45192504955807955</v>
      </c>
      <c r="G144" s="7">
        <v>0.33689666056640605</v>
      </c>
      <c r="H144" s="7">
        <v>0.2808959599408633</v>
      </c>
      <c r="I144" s="13">
        <v>0.69</v>
      </c>
      <c r="J144" s="13">
        <v>0.006484987318871631</v>
      </c>
      <c r="K144" s="13">
        <v>0.017708038435725007</v>
      </c>
      <c r="L144" s="13">
        <v>1124.7696428344125</v>
      </c>
      <c r="M144" s="13">
        <v>23.940880310919923</v>
      </c>
      <c r="N144" s="13">
        <v>0.31397514673083826</v>
      </c>
      <c r="O144" s="13">
        <v>9.02199431367363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6" t="s">
        <v>22</v>
      </c>
      <c r="C145" s="7">
        <v>0.1370295456382935</v>
      </c>
      <c r="D145" s="7">
        <v>0.18620459207459894</v>
      </c>
      <c r="E145" s="7">
        <v>0.19678377013647652</v>
      </c>
      <c r="F145" s="7">
        <v>0.21783907286525708</v>
      </c>
      <c r="G145" s="7">
        <v>0.18303401458133065</v>
      </c>
      <c r="H145" s="7">
        <v>0.13983224697260865</v>
      </c>
      <c r="I145" s="13">
        <v>0.69</v>
      </c>
      <c r="J145" s="13">
        <v>0.052850031299878426</v>
      </c>
      <c r="K145" s="13">
        <v>0.21387333248804052</v>
      </c>
      <c r="L145" s="13">
        <v>59.443594545246874</v>
      </c>
      <c r="M145" s="13">
        <v>20.831524004855385</v>
      </c>
      <c r="N145" s="13">
        <v>3.5509598417410784</v>
      </c>
      <c r="O145" s="13">
        <v>5.047783008337619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6" t="s">
        <v>64</v>
      </c>
      <c r="C146" s="7">
        <v>0.10638674474658649</v>
      </c>
      <c r="D146" s="7">
        <v>0.10932997101868325</v>
      </c>
      <c r="E146" s="7">
        <v>0.12155930029725592</v>
      </c>
      <c r="F146" s="7">
        <v>0.5520560547001537</v>
      </c>
      <c r="G146" s="7">
        <v>0.43393102652992227</v>
      </c>
      <c r="H146" s="7">
        <v>0.23890348771263822</v>
      </c>
      <c r="I146" s="13">
        <v>1.85</v>
      </c>
      <c r="J146" s="13">
        <v>0.1533196012950456</v>
      </c>
      <c r="K146" s="13">
        <v>0.2350673670648763</v>
      </c>
      <c r="L146" s="13">
        <v>22.16482759607104</v>
      </c>
      <c r="M146" s="13">
        <v>44.804884476024654</v>
      </c>
      <c r="N146" s="13">
        <v>2.333696734182028</v>
      </c>
      <c r="O146" s="13">
        <v>33.980485932958594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6" t="s">
        <v>131</v>
      </c>
      <c r="C147" s="7">
        <v>0.02120254837650415</v>
      </c>
      <c r="D147" s="7">
        <v>0.3789515920015567</v>
      </c>
      <c r="E147" s="7">
        <v>0.0</v>
      </c>
      <c r="F147" s="7">
        <v>-0.027831797685535245</v>
      </c>
      <c r="G147" s="7">
        <v>0.3148533583681845</v>
      </c>
      <c r="H147" s="7">
        <v>0.05804234340822437</v>
      </c>
      <c r="I147" s="13">
        <v>2.37</v>
      </c>
      <c r="J147" s="13">
        <v>0.513674140721903</v>
      </c>
      <c r="K147" s="13">
        <v>7.885658035710822</v>
      </c>
      <c r="L147" s="13">
        <v>12.37206439047646</v>
      </c>
      <c r="M147" s="13">
        <v>33.729663299147134</v>
      </c>
      <c r="N147" s="13">
        <v>0.7189714009566985</v>
      </c>
      <c r="O147" s="13">
        <v>5.759495652296263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6" t="s">
        <v>74</v>
      </c>
      <c r="C148" s="7">
        <v>0.11841097124347555</v>
      </c>
      <c r="D148" s="7">
        <v>0.08633241029079275</v>
      </c>
      <c r="E148" s="7">
        <v>0.0</v>
      </c>
      <c r="F148" s="7">
        <v>0.006874512441959076</v>
      </c>
      <c r="G148" s="7">
        <v>0.008154970442564705</v>
      </c>
      <c r="H148" s="7">
        <v>0.005924309260084773</v>
      </c>
      <c r="I148" s="13">
        <v>0.7</v>
      </c>
      <c r="J148" s="13">
        <v>0.0014682173533530625</v>
      </c>
      <c r="K148" s="13">
        <v>-0.18203485500128044</v>
      </c>
      <c r="L148" s="13">
        <v>350.07357124718374</v>
      </c>
      <c r="M148" s="13">
        <v>-284.84148906888964</v>
      </c>
      <c r="N148" s="13">
        <v>-85.4517017211966</v>
      </c>
      <c r="O148" s="13">
        <v>9.175864558474803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6" t="s">
        <v>18</v>
      </c>
      <c r="C149" s="7">
        <v>0.232739792178569</v>
      </c>
      <c r="D149" s="7">
        <v>0.17375164446262792</v>
      </c>
      <c r="E149" s="7">
        <v>0.16557071761106434</v>
      </c>
      <c r="F149" s="7">
        <v>0.24137940713309844</v>
      </c>
      <c r="G149" s="7">
        <v>0.1819458234530709</v>
      </c>
      <c r="H149" s="7">
        <v>0.15215667324727772</v>
      </c>
      <c r="I149" s="13">
        <v>1.48</v>
      </c>
      <c r="J149" s="13">
        <v>0.018501848486758538</v>
      </c>
      <c r="K149" s="13">
        <v>0.07185956843903234</v>
      </c>
      <c r="L149" s="13">
        <v>2385.2935672969047</v>
      </c>
      <c r="M149" s="13">
        <v>52.478058938561325</v>
      </c>
      <c r="N149" s="13">
        <v>4.408937468940308</v>
      </c>
      <c r="O149" s="13">
        <v>14.268903969025832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6" t="s">
        <v>196</v>
      </c>
      <c r="C150" s="7">
        <v>0.03170366941277658</v>
      </c>
      <c r="D150" s="7">
        <v>0.03320257489192713</v>
      </c>
      <c r="E150" s="7">
        <v>0.08470030508772752</v>
      </c>
      <c r="F150" s="7">
        <v>0.07561362702138415</v>
      </c>
      <c r="G150" s="7">
        <v>0.06201956914717341</v>
      </c>
      <c r="H150" s="7">
        <v>0.04868746661404913</v>
      </c>
      <c r="I150" s="13">
        <v>0.19</v>
      </c>
      <c r="J150" s="13">
        <v>0.21590361130588442</v>
      </c>
      <c r="K150" s="13">
        <v>3.249610858889569</v>
      </c>
      <c r="L150" s="13">
        <v>4.99986151764679</v>
      </c>
      <c r="M150" s="13">
        <v>198.1405750266524</v>
      </c>
      <c r="N150" s="13">
        <v>8.562904910310891</v>
      </c>
      <c r="O150" s="13">
        <v>11.050226184766151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6" t="s">
        <v>68</v>
      </c>
      <c r="C151" s="7">
        <v>0.09820867678024481</v>
      </c>
      <c r="D151" s="7">
        <v>0.09986469049805402</v>
      </c>
      <c r="E151" s="7">
        <v>0.10754539809124575</v>
      </c>
      <c r="F151" s="7">
        <v>0.29655278028300863</v>
      </c>
      <c r="G151" s="7">
        <v>0.2184006968676815</v>
      </c>
      <c r="H151" s="7">
        <v>0.16461250831357438</v>
      </c>
      <c r="I151" s="13">
        <v>1.01</v>
      </c>
      <c r="J151" s="13">
        <v>0.024913957592347755</v>
      </c>
      <c r="K151" s="13">
        <v>0.08649053392254781</v>
      </c>
      <c r="L151" s="13">
        <v>121.5642723420775</v>
      </c>
      <c r="M151" s="13">
        <v>51.12043780564772</v>
      </c>
      <c r="N151" s="13">
        <v>4.587020723764878</v>
      </c>
      <c r="O151" s="13">
        <v>14.977640909842505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6" t="s">
        <v>28</v>
      </c>
      <c r="C152" s="7">
        <v>0.15464289019886612</v>
      </c>
      <c r="D152" s="7">
        <v>0.19240642621990633</v>
      </c>
      <c r="E152" s="7">
        <v>0.2679057506076461</v>
      </c>
      <c r="F152" s="7">
        <v>0.24266264313900507</v>
      </c>
      <c r="G152" s="7">
        <v>0.17811582834115572</v>
      </c>
      <c r="H152" s="7">
        <v>0.11538684291171081</v>
      </c>
      <c r="I152" s="13">
        <v>1.74</v>
      </c>
      <c r="J152" s="13">
        <v>0.10602512218168006</v>
      </c>
      <c r="K152" s="13">
        <v>0.39256786770777025</v>
      </c>
      <c r="L152" s="13">
        <v>19.8615259585302</v>
      </c>
      <c r="M152" s="13">
        <v>26.776862840806064</v>
      </c>
      <c r="N152" s="13">
        <v>2.9805372094518283</v>
      </c>
      <c r="O152" s="13">
        <v>7.930671993034749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6" t="s">
        <v>161</v>
      </c>
      <c r="C153" s="7">
        <v>0.06831155714706738</v>
      </c>
      <c r="D153" s="7">
        <v>0.07307240299015527</v>
      </c>
      <c r="E153" s="7">
        <v>0.10995808728236889</v>
      </c>
      <c r="F153" s="7">
        <v>0.08763580626546458</v>
      </c>
      <c r="G153" s="7">
        <v>0.1483598657955126</v>
      </c>
      <c r="H153" s="7">
        <v>0.02124044513329742</v>
      </c>
      <c r="I153" s="13">
        <v>0.1</v>
      </c>
      <c r="J153" s="13">
        <v>5.93790086407694</v>
      </c>
      <c r="K153" s="13">
        <v>9.77585513927253</v>
      </c>
      <c r="L153" s="13">
        <v>1.4953252073818626</v>
      </c>
      <c r="M153" s="13">
        <v>11.70803535235151</v>
      </c>
      <c r="N153" s="13">
        <v>0.37916911132972897</v>
      </c>
      <c r="O153" s="13">
        <v>1.5033136999327112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6" t="s">
        <v>122</v>
      </c>
      <c r="C154" s="7">
        <v>0.07203215505027494</v>
      </c>
      <c r="D154" s="7">
        <v>0.06913510536412404</v>
      </c>
      <c r="E154" s="7">
        <v>0.09946191653270331</v>
      </c>
      <c r="F154" s="7">
        <v>0.11521980357087916</v>
      </c>
      <c r="G154" s="7">
        <v>0.1738229306211516</v>
      </c>
      <c r="H154" s="7">
        <v>0.05092494307331768</v>
      </c>
      <c r="I154" s="13">
        <v>0.18</v>
      </c>
      <c r="J154" s="13">
        <v>1.9761882866592342</v>
      </c>
      <c r="K154" s="13">
        <v>4.357650644481088</v>
      </c>
      <c r="L154" s="13">
        <v>2.743086735095039</v>
      </c>
      <c r="M154" s="13">
        <v>11.108800946946774</v>
      </c>
      <c r="N154" s="13">
        <v>-22.486104318414785</v>
      </c>
      <c r="O154" s="13">
        <v>2.9283849433366247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6" t="s">
        <v>192</v>
      </c>
      <c r="C155" s="7">
        <v>0.0</v>
      </c>
      <c r="D155" s="7">
        <v>0.0</v>
      </c>
      <c r="E155" s="7">
        <v>0.0</v>
      </c>
      <c r="F155" s="7">
        <v>0.12250916495888725</v>
      </c>
      <c r="G155" s="7">
        <v>0.079238089094128</v>
      </c>
      <c r="H155" s="7">
        <v>0.03686883488712877</v>
      </c>
      <c r="I155" s="13">
        <v>1.26</v>
      </c>
      <c r="J155" s="13">
        <v>0.15548591285883157</v>
      </c>
      <c r="K155" s="13">
        <v>2.541808195196525</v>
      </c>
      <c r="L155" s="13">
        <v>7.5779281179424265</v>
      </c>
      <c r="M155" s="13">
        <v>580.1595573997231</v>
      </c>
      <c r="N155" s="13">
        <v>0.4789407980386262</v>
      </c>
      <c r="O155" s="13">
        <v>23.29976690747384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6" t="s">
        <v>195</v>
      </c>
      <c r="C156" s="7">
        <v>-0.012596897320198641</v>
      </c>
      <c r="D156" s="7">
        <v>0.012221041609436822</v>
      </c>
      <c r="E156" s="7">
        <v>-0.07362687048375449</v>
      </c>
      <c r="F156" s="7">
        <v>0.08163982384683503</v>
      </c>
      <c r="G156" s="7">
        <v>0.06446573115044729</v>
      </c>
      <c r="H156" s="7">
        <v>0.022091483078218413</v>
      </c>
      <c r="I156" s="13">
        <v>0.14</v>
      </c>
      <c r="J156" s="13">
        <v>0.7163951187988283</v>
      </c>
      <c r="K156" s="13">
        <v>5.860356183151833</v>
      </c>
      <c r="L156" s="13">
        <v>2.2474674571470725</v>
      </c>
      <c r="M156" s="13">
        <v>84.36968414596754</v>
      </c>
      <c r="N156" s="13">
        <v>-9.311417349474725</v>
      </c>
      <c r="O156" s="13">
        <v>4.30231409558991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6" t="s">
        <v>184</v>
      </c>
      <c r="C157" s="7">
        <v>0.09888080072680694</v>
      </c>
      <c r="D157" s="7">
        <v>0.1563348346868194</v>
      </c>
      <c r="E157" s="7">
        <v>0.0</v>
      </c>
      <c r="F157" s="7">
        <v>0.04099095382152168</v>
      </c>
      <c r="G157" s="7">
        <v>-0.021484541499452527</v>
      </c>
      <c r="H157" s="7">
        <v>-6.992920318235162E-4</v>
      </c>
      <c r="I157" s="13">
        <v>0.07</v>
      </c>
      <c r="J157" s="13">
        <v>13.964204826818822</v>
      </c>
      <c r="K157" s="13">
        <v>41.62697459899756</v>
      </c>
      <c r="L157" s="13">
        <v>0.9783069921918409</v>
      </c>
      <c r="M157" s="13">
        <v>19.147620349872774</v>
      </c>
      <c r="N157" s="13">
        <v>0.07124118242453922</v>
      </c>
      <c r="O157" s="13">
        <v>0.867456783309026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6" t="s">
        <v>92</v>
      </c>
      <c r="C158" s="7">
        <v>0.15908214448149693</v>
      </c>
      <c r="D158" s="7">
        <v>0.1761863916656521</v>
      </c>
      <c r="E158" s="7">
        <v>0.14746670744034263</v>
      </c>
      <c r="F158" s="7">
        <v>0.1390277863757672</v>
      </c>
      <c r="G158" s="7">
        <v>0.16734472143048496</v>
      </c>
      <c r="H158" s="7">
        <v>0.06270466843407906</v>
      </c>
      <c r="I158" s="13">
        <v>0.99</v>
      </c>
      <c r="J158" s="13">
        <v>0.8869712399063718</v>
      </c>
      <c r="K158" s="13">
        <v>5.84457260287743</v>
      </c>
      <c r="L158" s="13">
        <v>9.810895544064971</v>
      </c>
      <c r="M158" s="13">
        <v>68.1110642006921</v>
      </c>
      <c r="N158" s="13">
        <v>-3.2913704137181496</v>
      </c>
      <c r="O158" s="13">
        <v>8.506853770762502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6" t="s">
        <v>142</v>
      </c>
      <c r="C159" s="7">
        <v>0.08938412618707958</v>
      </c>
      <c r="D159" s="7">
        <v>0.09224093044861159</v>
      </c>
      <c r="E159" s="7">
        <v>0.10813763892280237</v>
      </c>
      <c r="F159" s="7">
        <v>0.08964611638657655</v>
      </c>
      <c r="G159" s="7">
        <v>0.1798905420396919</v>
      </c>
      <c r="H159" s="7">
        <v>0.022441032822117922</v>
      </c>
      <c r="I159" s="13">
        <v>0.1</v>
      </c>
      <c r="J159" s="13">
        <v>6.693556598243955</v>
      </c>
      <c r="K159" s="13">
        <v>9.787855783481568</v>
      </c>
      <c r="L159" s="13">
        <v>1.533740089801035</v>
      </c>
      <c r="M159" s="13">
        <v>11.25946734223382</v>
      </c>
      <c r="N159" s="13">
        <v>0.5952354390936724</v>
      </c>
      <c r="O159" s="13">
        <v>1.4556916416026846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6" t="s">
        <v>147</v>
      </c>
      <c r="C160" s="7">
        <v>0.08321804325859983</v>
      </c>
      <c r="D160" s="7">
        <v>0.039705380084175346</v>
      </c>
      <c r="E160" s="7">
        <v>0.025607068848057635</v>
      </c>
      <c r="F160" s="7">
        <v>0.09067154477089179</v>
      </c>
      <c r="G160" s="7">
        <v>0.08561848953454118</v>
      </c>
      <c r="H160" s="7">
        <v>0.04403053491352111</v>
      </c>
      <c r="I160" s="13">
        <v>0.52</v>
      </c>
      <c r="J160" s="13">
        <v>0.4491965364951363</v>
      </c>
      <c r="K160" s="13">
        <v>3.689919194717839</v>
      </c>
      <c r="L160" s="13">
        <v>6.874711099832463</v>
      </c>
      <c r="M160" s="13">
        <v>31.729832005917462</v>
      </c>
      <c r="N160" s="13">
        <v>-3.033185181028816</v>
      </c>
      <c r="O160" s="13">
        <v>3.177237392903899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6" t="s">
        <v>146</v>
      </c>
      <c r="C161" s="7">
        <v>0.0676615154100162</v>
      </c>
      <c r="D161" s="7">
        <v>0.015899899733906375</v>
      </c>
      <c r="E161" s="7">
        <v>0.08176879135659276</v>
      </c>
      <c r="F161" s="7">
        <v>0.09442876906205534</v>
      </c>
      <c r="G161" s="7">
        <v>0.0851814208214765</v>
      </c>
      <c r="H161" s="7">
        <v>0.05962320328071528</v>
      </c>
      <c r="I161" s="13">
        <v>1.29</v>
      </c>
      <c r="J161" s="13">
        <v>0.24309253904611172</v>
      </c>
      <c r="K161" s="13">
        <v>4.352789964812114</v>
      </c>
      <c r="L161" s="13">
        <v>30.356267293095527</v>
      </c>
      <c r="M161" s="13">
        <v>80.14449854976387</v>
      </c>
      <c r="N161" s="13">
        <v>0.9594704981251919</v>
      </c>
      <c r="O161" s="13">
        <v>2.4580995878736145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6" t="s">
        <v>89</v>
      </c>
      <c r="C162" s="7">
        <v>0.2241326001415347</v>
      </c>
      <c r="D162" s="7">
        <v>0.2130069351288555</v>
      </c>
      <c r="E162" s="7">
        <v>0.21040944414818274</v>
      </c>
      <c r="F162" s="7">
        <v>0.11412369357704481</v>
      </c>
      <c r="G162" s="7">
        <v>0.21330315093979016</v>
      </c>
      <c r="H162" s="7">
        <v>0.04093246965652954</v>
      </c>
      <c r="I162" s="13">
        <v>0.29</v>
      </c>
      <c r="J162" s="13">
        <v>3.683882668819491</v>
      </c>
      <c r="K162" s="13">
        <v>7.681961815510672</v>
      </c>
      <c r="L162" s="13">
        <v>2.3673057249431912</v>
      </c>
      <c r="M162" s="13">
        <v>23.590370786306547</v>
      </c>
      <c r="N162" s="13">
        <v>-2.1395692201936782</v>
      </c>
      <c r="O162" s="13">
        <v>6.082539334712939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6" t="s">
        <v>73</v>
      </c>
      <c r="C163" s="7">
        <v>0.19720111472589874</v>
      </c>
      <c r="D163" s="7">
        <v>0.11672884615170842</v>
      </c>
      <c r="E163" s="7">
        <v>0.11076386059513665</v>
      </c>
      <c r="F163" s="7">
        <v>0.17747437422493506</v>
      </c>
      <c r="G163" s="7">
        <v>0.15075528353717274</v>
      </c>
      <c r="H163" s="7">
        <v>0.0070945803821996735</v>
      </c>
      <c r="I163" s="13">
        <v>0.27</v>
      </c>
      <c r="J163" s="13">
        <v>0.0</v>
      </c>
      <c r="K163" s="13">
        <v>0.0</v>
      </c>
      <c r="L163" s="13">
        <v>224.7258775711392</v>
      </c>
      <c r="M163" s="13">
        <v>55.20757979633527</v>
      </c>
      <c r="N163" s="13">
        <v>2.349445987039277</v>
      </c>
      <c r="O163" s="13">
        <v>9.131990126785729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6" t="s">
        <v>95</v>
      </c>
      <c r="C164" s="7">
        <v>0.1258314706764716</v>
      </c>
      <c r="D164" s="7">
        <v>0.10552792867864924</v>
      </c>
      <c r="E164" s="7">
        <v>0.004550806672397378</v>
      </c>
      <c r="F164" s="7">
        <v>0.13878880827939163</v>
      </c>
      <c r="G164" s="7">
        <v>0.12103620360598041</v>
      </c>
      <c r="H164" s="7">
        <v>0.08345409569592069</v>
      </c>
      <c r="I164" s="13">
        <v>0.68</v>
      </c>
      <c r="J164" s="13">
        <v>0.18251197747922812</v>
      </c>
      <c r="K164" s="13">
        <v>0.7298284387998725</v>
      </c>
      <c r="L164" s="13">
        <v>10.586341556697597</v>
      </c>
      <c r="M164" s="13">
        <v>28.909131296018753</v>
      </c>
      <c r="N164" s="13">
        <v>-1.7860685586217648</v>
      </c>
      <c r="O164" s="13">
        <v>5.191345286659667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6" t="s">
        <v>102</v>
      </c>
      <c r="C165" s="7">
        <v>0.15562402684861065</v>
      </c>
      <c r="D165" s="7">
        <v>0.165717255971787</v>
      </c>
      <c r="E165" s="7">
        <v>0.23545670137903763</v>
      </c>
      <c r="F165" s="7">
        <v>0.10417462250116337</v>
      </c>
      <c r="G165" s="7">
        <v>0.1414055749851025</v>
      </c>
      <c r="H165" s="7">
        <v>0.024401520491300586</v>
      </c>
      <c r="I165" s="13">
        <v>0.16</v>
      </c>
      <c r="J165" s="13">
        <v>4.7293869917969085</v>
      </c>
      <c r="K165" s="13">
        <v>7.828740303164466</v>
      </c>
      <c r="L165" s="13">
        <v>1.5088593248656765</v>
      </c>
      <c r="M165" s="13">
        <v>10.511816132350688</v>
      </c>
      <c r="N165" s="13">
        <v>0.3545081512918877</v>
      </c>
      <c r="O165" s="13">
        <v>2.19177311103992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6" t="s">
        <v>94</v>
      </c>
      <c r="C166" s="7">
        <v>0.0</v>
      </c>
      <c r="D166" s="7">
        <v>0.0</v>
      </c>
      <c r="E166" s="7">
        <v>0.0</v>
      </c>
      <c r="F166" s="7">
        <v>0.1956631937889376</v>
      </c>
      <c r="G166" s="7">
        <v>0.1473072906283236</v>
      </c>
      <c r="H166" s="7">
        <v>0.07008272781032873</v>
      </c>
      <c r="I166" s="13">
        <v>0.0</v>
      </c>
      <c r="J166" s="13">
        <v>0.03602697453891015</v>
      </c>
      <c r="K166" s="13">
        <v>0.17965774685884378</v>
      </c>
      <c r="L166" s="13">
        <v>44.00248051027641</v>
      </c>
      <c r="M166" s="13">
        <v>0.21479470648116727</v>
      </c>
      <c r="N166" s="13">
        <v>0.0</v>
      </c>
      <c r="O166" s="13">
        <v>0.0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6" t="s">
        <v>85</v>
      </c>
      <c r="C167" s="7">
        <v>0.06904994330008862</v>
      </c>
      <c r="D167" s="7">
        <v>0.10897149920346627</v>
      </c>
      <c r="E167" s="7">
        <v>0.08458068135378993</v>
      </c>
      <c r="F167" s="7">
        <v>0.2245403845505165</v>
      </c>
      <c r="G167" s="7">
        <v>0.16029556622149282</v>
      </c>
      <c r="H167" s="7">
        <v>0.09506136843720171</v>
      </c>
      <c r="I167" s="13">
        <v>0.95</v>
      </c>
      <c r="J167" s="13">
        <v>0.016600703176580488</v>
      </c>
      <c r="K167" s="13">
        <v>0.1185058892177178</v>
      </c>
      <c r="L167" s="13">
        <v>46.40133089208818</v>
      </c>
      <c r="M167" s="13">
        <v>49.6596678195757</v>
      </c>
      <c r="N167" s="13">
        <v>1.4085010701643397</v>
      </c>
      <c r="O167" s="13">
        <v>9.709873312782841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6" t="s">
        <v>65</v>
      </c>
      <c r="C168" s="7">
        <v>0.15929939477876998</v>
      </c>
      <c r="D168" s="7">
        <v>0.19534959018352893</v>
      </c>
      <c r="E168" s="7">
        <v>0.22121089548197648</v>
      </c>
      <c r="F168" s="7">
        <v>0.2626948283544619</v>
      </c>
      <c r="G168" s="7">
        <v>0.21403722731491306</v>
      </c>
      <c r="H168" s="7">
        <v>0.1472338772243162</v>
      </c>
      <c r="I168" s="13">
        <v>1.1</v>
      </c>
      <c r="J168" s="13">
        <v>0.17310607659869867</v>
      </c>
      <c r="K168" s="13">
        <v>0.5506599313252529</v>
      </c>
      <c r="L168" s="13">
        <v>27.485619173048676</v>
      </c>
      <c r="M168" s="13">
        <v>92.73683155323876</v>
      </c>
      <c r="N168" s="13">
        <v>3.6533195193627175</v>
      </c>
      <c r="O168" s="13">
        <v>33.178848110180766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6" t="s">
        <v>83</v>
      </c>
      <c r="C169" s="7">
        <v>0.24337445654163714</v>
      </c>
      <c r="D169" s="7">
        <v>0.28860079828279717</v>
      </c>
      <c r="E169" s="7">
        <v>0.0</v>
      </c>
      <c r="F169" s="7">
        <v>0.20688876824646726</v>
      </c>
      <c r="G169" s="7">
        <v>0.17416884972075364</v>
      </c>
      <c r="H169" s="7">
        <v>0.11380782197369643</v>
      </c>
      <c r="I169" s="13">
        <v>0.68</v>
      </c>
      <c r="J169" s="13">
        <v>0.2770808913963135</v>
      </c>
      <c r="K169" s="13">
        <v>0.8852612220537562</v>
      </c>
      <c r="L169" s="13">
        <v>16.621549692307717</v>
      </c>
      <c r="M169" s="13">
        <v>30.535576125543265</v>
      </c>
      <c r="N169" s="13">
        <v>3.846757372397645</v>
      </c>
      <c r="O169" s="13">
        <v>5.314571474644726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6" t="s">
        <v>87</v>
      </c>
      <c r="C170" s="7">
        <v>0.12384866128150773</v>
      </c>
      <c r="D170" s="7">
        <v>0.117355500335655</v>
      </c>
      <c r="E170" s="7">
        <v>0.1305120828859363</v>
      </c>
      <c r="F170" s="7">
        <v>0.15349367266573552</v>
      </c>
      <c r="G170" s="7">
        <v>0.1549188672421027</v>
      </c>
      <c r="H170" s="7">
        <v>0.08649403785643214</v>
      </c>
      <c r="I170" s="13">
        <v>0.7</v>
      </c>
      <c r="J170" s="13">
        <v>0.49012678116294656</v>
      </c>
      <c r="K170" s="13">
        <v>1.8543036853271013</v>
      </c>
      <c r="L170" s="13">
        <v>10.362611018667174</v>
      </c>
      <c r="M170" s="13">
        <v>36.699837929405646</v>
      </c>
      <c r="N170" s="13">
        <v>-8.908631346670418</v>
      </c>
      <c r="O170" s="13">
        <v>7.530386518738142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6" t="s">
        <v>168</v>
      </c>
      <c r="C171" s="7">
        <v>0.10924183095564843</v>
      </c>
      <c r="D171" s="7">
        <v>0.13418913836243518</v>
      </c>
      <c r="E171" s="7">
        <v>0.21696985510935884</v>
      </c>
      <c r="F171" s="7">
        <v>0.048128795473340896</v>
      </c>
      <c r="G171" s="7">
        <v>0.08462064031762168</v>
      </c>
      <c r="H171" s="7">
        <v>0.005149679456774628</v>
      </c>
      <c r="I171" s="13">
        <v>0.07</v>
      </c>
      <c r="J171" s="13">
        <v>14.6792805141609</v>
      </c>
      <c r="K171" s="13">
        <v>25.27091020661228</v>
      </c>
      <c r="L171" s="13">
        <v>1.183606919127714</v>
      </c>
      <c r="M171" s="13">
        <v>19.316506411484923</v>
      </c>
      <c r="N171" s="13">
        <v>0.6037550766861293</v>
      </c>
      <c r="O171" s="13">
        <v>1.5607253179398086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6" t="s">
        <v>163</v>
      </c>
      <c r="C172" s="7">
        <v>0.10214800580289363</v>
      </c>
      <c r="D172" s="7">
        <v>0.0</v>
      </c>
      <c r="E172" s="7">
        <v>0.0</v>
      </c>
      <c r="F172" s="7">
        <v>0.07853297858871605</v>
      </c>
      <c r="G172" s="7">
        <v>0.051204952011935624</v>
      </c>
      <c r="H172" s="7">
        <v>0.021096670430803002</v>
      </c>
      <c r="I172" s="13">
        <v>0.74</v>
      </c>
      <c r="J172" s="13">
        <v>0.8987750465371543</v>
      </c>
      <c r="K172" s="13">
        <v>57.11934467179205</v>
      </c>
      <c r="L172" s="13">
        <v>2.725545106921496</v>
      </c>
      <c r="M172" s="13">
        <v>7.833298260079276</v>
      </c>
      <c r="N172" s="13">
        <v>-1.0345307713727587</v>
      </c>
      <c r="O172" s="13">
        <v>0.8547999951847416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6" t="s">
        <v>198</v>
      </c>
      <c r="C173" s="7">
        <v>0.11537422414491005</v>
      </c>
      <c r="D173" s="7">
        <v>0.0</v>
      </c>
      <c r="E173" s="7">
        <v>0.0</v>
      </c>
      <c r="F173" s="7">
        <v>0.06744338257881181</v>
      </c>
      <c r="G173" s="7">
        <v>0.06388360198302766</v>
      </c>
      <c r="H173" s="7">
        <v>0.03772364604415532</v>
      </c>
      <c r="I173" s="13">
        <v>0.59</v>
      </c>
      <c r="J173" s="13">
        <v>0.319942820618085</v>
      </c>
      <c r="K173" s="13">
        <v>7.927058410132529</v>
      </c>
      <c r="L173" s="13">
        <v>4.073019779922342</v>
      </c>
      <c r="M173" s="13">
        <v>65.2231283496072</v>
      </c>
      <c r="N173" s="13">
        <v>1.9500457789673973</v>
      </c>
      <c r="O173" s="13">
        <v>17.099800163107005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6" t="s">
        <v>13</v>
      </c>
      <c r="C174" s="7">
        <v>0.13441166937600157</v>
      </c>
      <c r="D174" s="7">
        <v>0.11981417672864869</v>
      </c>
      <c r="E174" s="7">
        <v>0.154638074961311</v>
      </c>
      <c r="F174" s="7">
        <v>0.30287937549788957</v>
      </c>
      <c r="G174" s="7">
        <v>0.22979469064691255</v>
      </c>
      <c r="H174" s="7">
        <v>0.15800079779359327</v>
      </c>
      <c r="I174" s="13">
        <v>1.52</v>
      </c>
      <c r="J174" s="13">
        <v>0.07534321150264348</v>
      </c>
      <c r="K174" s="13">
        <v>0.17923881108379514</v>
      </c>
      <c r="L174" s="13">
        <v>75.52406701749838</v>
      </c>
      <c r="M174" s="13">
        <v>29.758961849323665</v>
      </c>
      <c r="N174" s="13">
        <v>-4.130459282492888</v>
      </c>
      <c r="O174" s="13">
        <v>8.727215931198531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6" t="s">
        <v>162</v>
      </c>
      <c r="C175" s="7">
        <v>0.055491413892645</v>
      </c>
      <c r="D175" s="7">
        <v>0.07124557542135412</v>
      </c>
      <c r="E175" s="7">
        <v>0.18747448275702516</v>
      </c>
      <c r="F175" s="7">
        <v>3.055659542241203</v>
      </c>
      <c r="G175" s="7">
        <v>0.1013484225459684</v>
      </c>
      <c r="H175" s="7">
        <v>-0.12303836753868216</v>
      </c>
      <c r="I175" s="13">
        <v>1.08</v>
      </c>
      <c r="J175" s="13">
        <v>2.6620145879905874</v>
      </c>
      <c r="K175" s="13">
        <v>1.3828348849811745</v>
      </c>
      <c r="L175" s="13">
        <v>1.386191329212158</v>
      </c>
      <c r="M175" s="13">
        <v>45.3442331798835</v>
      </c>
      <c r="N175" s="13">
        <v>0.19178519621540893</v>
      </c>
      <c r="O175" s="13">
        <v>13.873655489238558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6" t="s">
        <v>159</v>
      </c>
      <c r="C176" s="7">
        <v>0.0</v>
      </c>
      <c r="D176" s="7">
        <v>0.0</v>
      </c>
      <c r="E176" s="7">
        <v>0.0</v>
      </c>
      <c r="F176" s="7">
        <v>-0.46059352154635386</v>
      </c>
      <c r="G176" s="7">
        <v>0.03402756128533562</v>
      </c>
      <c r="H176" s="7">
        <v>-0.3632678783188467</v>
      </c>
      <c r="I176" s="13">
        <v>1.18</v>
      </c>
      <c r="J176" s="13">
        <v>-1.720097456439664</v>
      </c>
      <c r="K176" s="13">
        <v>-2.6762708498922088</v>
      </c>
      <c r="L176" s="13">
        <v>-84.45150716562985</v>
      </c>
      <c r="M176" s="13">
        <v>-24.227002578405763</v>
      </c>
      <c r="N176" s="13">
        <v>0.0</v>
      </c>
      <c r="O176" s="13">
        <v>6.2866146308644355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6" t="s">
        <v>137</v>
      </c>
      <c r="C177" s="7">
        <v>0.04271090876153072</v>
      </c>
      <c r="D177" s="7">
        <v>0.029623964916349</v>
      </c>
      <c r="E177" s="7">
        <v>0.103445838628621</v>
      </c>
      <c r="F177" s="7">
        <v>0.0848942825732813</v>
      </c>
      <c r="G177" s="7">
        <v>0.0593557951867529</v>
      </c>
      <c r="H177" s="7">
        <v>0.037317624956672485</v>
      </c>
      <c r="I177" s="13">
        <v>0.91</v>
      </c>
      <c r="J177" s="13">
        <v>0.14665255979846906</v>
      </c>
      <c r="K177" s="13">
        <v>0.8534711386718753</v>
      </c>
      <c r="L177" s="13">
        <v>12.250813874854845</v>
      </c>
      <c r="M177" s="13">
        <v>30.468209468560296</v>
      </c>
      <c r="N177" s="13">
        <v>0.6630665072654178</v>
      </c>
      <c r="O177" s="13">
        <v>4.303629965152794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6" t="s">
        <v>35</v>
      </c>
      <c r="C178" s="7">
        <v>0.09605672373304186</v>
      </c>
      <c r="D178" s="7">
        <v>0.07911183241838615</v>
      </c>
      <c r="E178" s="7">
        <v>0.07612196167713137</v>
      </c>
      <c r="F178" s="7">
        <v>0.5706992088064775</v>
      </c>
      <c r="G178" s="7">
        <v>0.45967518829363535</v>
      </c>
      <c r="H178" s="7">
        <v>0.31251203562842556</v>
      </c>
      <c r="I178" s="13">
        <v>1.68</v>
      </c>
      <c r="J178" s="13">
        <v>0.05485126230335845</v>
      </c>
      <c r="K178" s="13">
        <v>0.0871531474322821</v>
      </c>
      <c r="L178" s="13">
        <v>408.4450928305563</v>
      </c>
      <c r="M178" s="13">
        <v>22.530444708177253</v>
      </c>
      <c r="N178" s="13">
        <v>2.629215278464969</v>
      </c>
      <c r="O178" s="13">
        <v>17.25460057262256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6" t="s">
        <v>86</v>
      </c>
      <c r="C179" s="7">
        <v>0.15666289671633704</v>
      </c>
      <c r="D179" s="7">
        <v>0.16779059160001442</v>
      </c>
      <c r="E179" s="7">
        <v>0.18672698323117376</v>
      </c>
      <c r="F179" s="7">
        <v>0.10678235645818769</v>
      </c>
      <c r="G179" s="7">
        <v>0.07768952590492066</v>
      </c>
      <c r="H179" s="7">
        <v>0.06486947246171665</v>
      </c>
      <c r="I179" s="13">
        <v>0.59</v>
      </c>
      <c r="J179" s="13">
        <v>0.03014085777994256</v>
      </c>
      <c r="K179" s="13">
        <v>0.30161977436957643</v>
      </c>
      <c r="L179" s="13">
        <v>31.160566447136496</v>
      </c>
      <c r="M179" s="13">
        <v>70.41381426767134</v>
      </c>
      <c r="N179" s="13">
        <v>2.514057958335847</v>
      </c>
      <c r="O179" s="13">
        <v>5.828232694256777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6" t="s">
        <v>11</v>
      </c>
      <c r="C180" s="7">
        <v>0.132427718731863</v>
      </c>
      <c r="D180" s="7">
        <v>0.1467451767999921</v>
      </c>
      <c r="E180" s="7">
        <v>0.1762535300243695</v>
      </c>
      <c r="F180" s="7">
        <v>0.4107715609301872</v>
      </c>
      <c r="G180" s="7">
        <v>0.30548347265244996</v>
      </c>
      <c r="H180" s="7">
        <v>0.2383283361895051</v>
      </c>
      <c r="I180" s="13">
        <v>1.1</v>
      </c>
      <c r="J180" s="13">
        <v>0.07349775537448212</v>
      </c>
      <c r="K180" s="13">
        <v>0.18295847727116632</v>
      </c>
      <c r="L180" s="13">
        <v>175.40841059130196</v>
      </c>
      <c r="M180" s="13">
        <v>31.901235936601786</v>
      </c>
      <c r="N180" s="13">
        <v>-44.916560424512475</v>
      </c>
      <c r="O180" s="13">
        <v>11.359235094197123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6" t="s">
        <v>171</v>
      </c>
      <c r="C181" s="7">
        <v>0.0494393491155527</v>
      </c>
      <c r="D181" s="7">
        <v>0.12880547311071022</v>
      </c>
      <c r="E181" s="7">
        <v>0.0</v>
      </c>
      <c r="F181" s="7">
        <v>0.05500987585323034</v>
      </c>
      <c r="G181" s="7">
        <v>-0.013359024456021254</v>
      </c>
      <c r="H181" s="7">
        <v>0.005176230255202636</v>
      </c>
      <c r="I181" s="13">
        <v>1.18</v>
      </c>
      <c r="J181" s="13">
        <v>0.8936811502529428</v>
      </c>
      <c r="K181" s="13">
        <v>2.5637978818618326</v>
      </c>
      <c r="L181" s="13">
        <v>1.635114037012078</v>
      </c>
      <c r="M181" s="13">
        <v>19.647930158532017</v>
      </c>
      <c r="N181" s="13">
        <v>-0.7296221406697825</v>
      </c>
      <c r="O181" s="13">
        <v>4.485215253274325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6" t="s">
        <v>182</v>
      </c>
      <c r="C182" s="7">
        <v>0.09911102915243597</v>
      </c>
      <c r="D182" s="7">
        <v>0.04042305017710213</v>
      </c>
      <c r="E182" s="7">
        <v>0.08742169783731146</v>
      </c>
      <c r="F182" s="7">
        <v>0.08654166360016682</v>
      </c>
      <c r="G182" s="7">
        <v>0.08218793041357707</v>
      </c>
      <c r="H182" s="7">
        <v>0.023430302575161814</v>
      </c>
      <c r="I182" s="13">
        <v>0.44</v>
      </c>
      <c r="J182" s="13">
        <v>1.5777677338340785</v>
      </c>
      <c r="K182" s="13">
        <v>10.554391694238344</v>
      </c>
      <c r="L182" s="13">
        <v>1.600595762837211</v>
      </c>
      <c r="M182" s="13">
        <v>31.467570576793733</v>
      </c>
      <c r="N182" s="13">
        <v>0.9457281125356346</v>
      </c>
      <c r="O182" s="13">
        <v>6.531335135620766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6" t="s">
        <v>31</v>
      </c>
      <c r="C183" s="7">
        <v>0.1322509955953315</v>
      </c>
      <c r="D183" s="7">
        <v>0.14182076355468465</v>
      </c>
      <c r="E183" s="7">
        <v>0.3076418806825234</v>
      </c>
      <c r="F183" s="7">
        <v>0.1466919280580715</v>
      </c>
      <c r="G183" s="7">
        <v>0.1265045229524822</v>
      </c>
      <c r="H183" s="7">
        <v>0.06751708070237838</v>
      </c>
      <c r="I183" s="13">
        <v>0.8</v>
      </c>
      <c r="J183" s="13">
        <v>0.41831323386313857</v>
      </c>
      <c r="K183" s="13">
        <v>1.7428729971735626</v>
      </c>
      <c r="L183" s="13">
        <v>6.155518001969595</v>
      </c>
      <c r="M183" s="13">
        <v>9.029960499528272</v>
      </c>
      <c r="N183" s="13">
        <v>-1.2757057246324301</v>
      </c>
      <c r="O183" s="13">
        <v>1.5193131581509758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6" t="s">
        <v>120</v>
      </c>
      <c r="C184" s="7">
        <v>0.0</v>
      </c>
      <c r="D184" s="7">
        <v>0.0</v>
      </c>
      <c r="E184" s="7">
        <v>0.0</v>
      </c>
      <c r="F184" s="7">
        <v>0.41659380130963586</v>
      </c>
      <c r="G184" s="7">
        <v>0.33728515131979225</v>
      </c>
      <c r="H184" s="7">
        <v>0.16794155619174175</v>
      </c>
      <c r="I184" s="13">
        <v>0.84</v>
      </c>
      <c r="J184" s="13">
        <v>0.08373770491532107</v>
      </c>
      <c r="K184" s="13">
        <v>0.254603919155765</v>
      </c>
      <c r="L184" s="13">
        <v>987.7295358489188</v>
      </c>
      <c r="M184" s="13">
        <v>44.626300254617995</v>
      </c>
      <c r="N184" s="13">
        <v>1.3806818057396286</v>
      </c>
      <c r="O184" s="13">
        <v>16.652807008011397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6" t="s">
        <v>71</v>
      </c>
      <c r="C185" s="7">
        <v>0.07842712379562689</v>
      </c>
      <c r="D185" s="7">
        <v>0.023427712264543876</v>
      </c>
      <c r="E185" s="7">
        <v>0.01003903940678419</v>
      </c>
      <c r="F185" s="7">
        <v>0.21807642587397028</v>
      </c>
      <c r="G185" s="7">
        <v>0.17331180398713733</v>
      </c>
      <c r="H185" s="7">
        <v>0.12250736422134298</v>
      </c>
      <c r="I185" s="13">
        <v>1.21</v>
      </c>
      <c r="J185" s="13">
        <v>0.020225746125037688</v>
      </c>
      <c r="K185" s="13">
        <v>0.11340625095516368</v>
      </c>
      <c r="L185" s="13">
        <v>64.66610750242246</v>
      </c>
      <c r="M185" s="13">
        <v>32.44517966181306</v>
      </c>
      <c r="N185" s="13">
        <v>0.6154670363386645</v>
      </c>
      <c r="O185" s="13">
        <v>6.19278947579692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6" t="s">
        <v>43</v>
      </c>
      <c r="C186" s="7">
        <v>0.1733875632774089</v>
      </c>
      <c r="D186" s="7">
        <v>0.18752103711021606</v>
      </c>
      <c r="E186" s="7">
        <v>0.16936692091012917</v>
      </c>
      <c r="F186" s="7">
        <v>0.19473735708190165</v>
      </c>
      <c r="G186" s="7">
        <v>0.21280843102218278</v>
      </c>
      <c r="H186" s="7">
        <v>0.10396128689950263</v>
      </c>
      <c r="I186" s="13">
        <v>1.67</v>
      </c>
      <c r="J186" s="13">
        <v>0.6158167284007234</v>
      </c>
      <c r="K186" s="13">
        <v>1.94058177185923</v>
      </c>
      <c r="L186" s="13">
        <v>20.35063702118579</v>
      </c>
      <c r="M186" s="13">
        <v>54.42237585034013</v>
      </c>
      <c r="N186" s="13">
        <v>-13.828126666886645</v>
      </c>
      <c r="O186" s="13">
        <v>16.17775343525073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6" t="s">
        <v>166</v>
      </c>
      <c r="C187" s="7">
        <v>0.059357981458517894</v>
      </c>
      <c r="D187" s="7">
        <v>0.03855134421906414</v>
      </c>
      <c r="E187" s="7">
        <v>0.008026825363901091</v>
      </c>
      <c r="F187" s="7">
        <v>0.1705179383871221</v>
      </c>
      <c r="G187" s="7">
        <v>0.1760768272151746</v>
      </c>
      <c r="H187" s="7">
        <v>0.09020353052605637</v>
      </c>
      <c r="I187" s="13">
        <v>0.8</v>
      </c>
      <c r="J187" s="13">
        <v>0.7543856925721434</v>
      </c>
      <c r="K187" s="13">
        <v>2.46781697041979</v>
      </c>
      <c r="L187" s="13">
        <v>6.035421518040305</v>
      </c>
      <c r="M187" s="13">
        <v>31.252879239995856</v>
      </c>
      <c r="N187" s="13">
        <v>1.4786611036273305</v>
      </c>
      <c r="O187" s="13">
        <v>14.387069871583801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6" t="s">
        <v>133</v>
      </c>
      <c r="C188" s="7">
        <v>0.06543126833329072</v>
      </c>
      <c r="D188" s="7">
        <v>0.03973337856932879</v>
      </c>
      <c r="E188" s="7">
        <v>0.12232488176611378</v>
      </c>
      <c r="F188" s="7">
        <v>0.12550285633539482</v>
      </c>
      <c r="G188" s="7">
        <v>0.1212037562495017</v>
      </c>
      <c r="H188" s="7">
        <v>0.051359946682267885</v>
      </c>
      <c r="I188" s="13">
        <v>0.84</v>
      </c>
      <c r="J188" s="13">
        <v>0.8689952472714166</v>
      </c>
      <c r="K188" s="13">
        <v>2.497378601707665</v>
      </c>
      <c r="L188" s="13">
        <v>3.039622820327528</v>
      </c>
      <c r="M188" s="13">
        <v>18.59226764493935</v>
      </c>
      <c r="N188" s="13">
        <v>0.5129544325404944</v>
      </c>
      <c r="O188" s="13">
        <v>4.292032979780764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6" t="s">
        <v>114</v>
      </c>
      <c r="C189" s="7">
        <v>0.26543544696303334</v>
      </c>
      <c r="D189" s="7">
        <v>0.3872666957917563</v>
      </c>
      <c r="E189" s="7">
        <v>0.33743238511102414</v>
      </c>
      <c r="F189" s="7">
        <v>0.15513003829583996</v>
      </c>
      <c r="G189" s="7">
        <v>0.12454561516840827</v>
      </c>
      <c r="H189" s="7">
        <v>0.06925749923150164</v>
      </c>
      <c r="I189" s="13">
        <v>2.07</v>
      </c>
      <c r="J189" s="13">
        <v>0.6548545931406012</v>
      </c>
      <c r="K189" s="13">
        <v>3.6369898807960865</v>
      </c>
      <c r="L189" s="13">
        <v>4.357459719414992</v>
      </c>
      <c r="M189" s="13">
        <v>67.98909089292692</v>
      </c>
      <c r="N189" s="13">
        <v>11.509102719002604</v>
      </c>
      <c r="O189" s="13">
        <v>32.0081635499797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6" t="s">
        <v>157</v>
      </c>
      <c r="C190" s="7">
        <v>0.0</v>
      </c>
      <c r="D190" s="7">
        <v>0.0</v>
      </c>
      <c r="E190" s="7">
        <v>0.0</v>
      </c>
      <c r="F190" s="7">
        <v>0.20150371642097253</v>
      </c>
      <c r="G190" s="7">
        <v>0.17183130653478937</v>
      </c>
      <c r="H190" s="7">
        <v>0.10475002436937313</v>
      </c>
      <c r="I190" s="13">
        <v>1.34</v>
      </c>
      <c r="J190" s="13">
        <v>0.2650000311520515</v>
      </c>
      <c r="K190" s="13">
        <v>0.9056116461286664</v>
      </c>
      <c r="L190" s="13">
        <v>25.013516084568156</v>
      </c>
      <c r="M190" s="13">
        <v>55.745503428927705</v>
      </c>
      <c r="N190" s="13">
        <v>0.540625103633903</v>
      </c>
      <c r="O190" s="13">
        <v>10.28413448252038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6" t="s">
        <v>61</v>
      </c>
      <c r="C191" s="7">
        <v>0.1255942241348389</v>
      </c>
      <c r="D191" s="7">
        <v>0.1853660106990629</v>
      </c>
      <c r="E191" s="7">
        <v>0.18672430106254834</v>
      </c>
      <c r="F191" s="7">
        <v>0.2280403066885757</v>
      </c>
      <c r="G191" s="7">
        <v>0.2162728056533819</v>
      </c>
      <c r="H191" s="7">
        <v>0.09306188670319164</v>
      </c>
      <c r="I191" s="13">
        <v>0.98</v>
      </c>
      <c r="J191" s="13">
        <v>0.38679334310683483</v>
      </c>
      <c r="K191" s="13">
        <v>0.9701854482274818</v>
      </c>
      <c r="L191" s="13">
        <v>14.546511449181931</v>
      </c>
      <c r="M191" s="13">
        <v>26.143614224389555</v>
      </c>
      <c r="N191" s="13">
        <v>1.407879588038435</v>
      </c>
      <c r="O191" s="13">
        <v>11.57000332103878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6" t="s">
        <v>105</v>
      </c>
      <c r="C192" s="7">
        <v>0.11732344486886093</v>
      </c>
      <c r="D192" s="7">
        <v>0.10490433915588682</v>
      </c>
      <c r="E192" s="7">
        <v>0.10080336073780294</v>
      </c>
      <c r="F192" s="7">
        <v>0.1270643188236839</v>
      </c>
      <c r="G192" s="7">
        <v>0.10842383199785711</v>
      </c>
      <c r="H192" s="7">
        <v>0.061250507314408446</v>
      </c>
      <c r="I192" s="13">
        <v>0.65</v>
      </c>
      <c r="J192" s="13">
        <v>0.3663672744121994</v>
      </c>
      <c r="K192" s="13">
        <v>1.6866823644712752</v>
      </c>
      <c r="L192" s="13">
        <v>7.314634502969635</v>
      </c>
      <c r="M192" s="13">
        <v>28.594300101226647</v>
      </c>
      <c r="N192" s="13">
        <v>-4.511375944092742</v>
      </c>
      <c r="O192" s="13">
        <v>4.867927620838721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6" t="s">
        <v>158</v>
      </c>
      <c r="C193" s="7">
        <v>0.1283610146383627</v>
      </c>
      <c r="D193" s="7">
        <v>0.12951259643810786</v>
      </c>
      <c r="E193" s="7">
        <v>0.29542141391345855</v>
      </c>
      <c r="F193" s="7">
        <v>0.04827114038387197</v>
      </c>
      <c r="G193" s="7">
        <v>0.015982958964362352</v>
      </c>
      <c r="H193" s="7">
        <v>0.0016368058649561996</v>
      </c>
      <c r="I193" s="13">
        <v>0.07</v>
      </c>
      <c r="J193" s="13">
        <v>15.302513466914538</v>
      </c>
      <c r="K193" s="13">
        <v>26.12805569470646</v>
      </c>
      <c r="L193" s="13">
        <v>1.0670487540831455</v>
      </c>
      <c r="M193" s="13">
        <v>17.882491329174808</v>
      </c>
      <c r="N193" s="13">
        <v>0.16844678722172277</v>
      </c>
      <c r="O193" s="13">
        <v>0.8525831888252299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6" t="s">
        <v>149</v>
      </c>
      <c r="C194" s="7">
        <v>0.03444803031250898</v>
      </c>
      <c r="D194" s="7">
        <v>0.0</v>
      </c>
      <c r="E194" s="7">
        <v>0.2901980309993404</v>
      </c>
      <c r="F194" s="7">
        <v>0.1985089235016758</v>
      </c>
      <c r="G194" s="7">
        <v>0.16884153919590264</v>
      </c>
      <c r="H194" s="7">
        <v>0.08143866876389233</v>
      </c>
      <c r="I194" s="13">
        <v>0.99</v>
      </c>
      <c r="J194" s="13">
        <v>0.5807354939447557</v>
      </c>
      <c r="K194" s="13">
        <v>1.3850865592467114</v>
      </c>
      <c r="L194" s="13">
        <v>10.587824538091589</v>
      </c>
      <c r="M194" s="13">
        <v>48.90066180758017</v>
      </c>
      <c r="N194" s="13">
        <v>3.4892789730423655</v>
      </c>
      <c r="O194" s="13">
        <v>12.936992257900748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6" t="s">
        <v>167</v>
      </c>
      <c r="C195" s="7">
        <v>-0.011457511001273013</v>
      </c>
      <c r="D195" s="7">
        <v>-0.15528779746654964</v>
      </c>
      <c r="E195" s="7">
        <v>0.22538874095851402</v>
      </c>
      <c r="F195" s="7">
        <v>0.11840772573201883</v>
      </c>
      <c r="G195" s="7">
        <v>0.10260948069062142</v>
      </c>
      <c r="H195" s="7">
        <v>0.054819176923529236</v>
      </c>
      <c r="I195" s="13">
        <v>0.54</v>
      </c>
      <c r="J195" s="13">
        <v>0.1529481683088269</v>
      </c>
      <c r="K195" s="13">
        <v>1.7677170668186895</v>
      </c>
      <c r="L195" s="13">
        <v>5.55522405159834</v>
      </c>
      <c r="M195" s="13">
        <v>349.58032258064515</v>
      </c>
      <c r="N195" s="13">
        <v>0.12756933755473562</v>
      </c>
      <c r="O195" s="13">
        <v>4.469257965227518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6" t="s">
        <v>113</v>
      </c>
      <c r="C196" s="7">
        <v>0.17485332819586197</v>
      </c>
      <c r="D196" s="7">
        <v>0.2056571526078086</v>
      </c>
      <c r="E196" s="7">
        <v>0.31362466881748885</v>
      </c>
      <c r="F196" s="7">
        <v>0.1447561785120655</v>
      </c>
      <c r="G196" s="7">
        <v>0.13086345498134422</v>
      </c>
      <c r="H196" s="7">
        <v>0.06821517072268302</v>
      </c>
      <c r="I196" s="13">
        <v>1.04</v>
      </c>
      <c r="J196" s="13">
        <v>0.6976094660062991</v>
      </c>
      <c r="K196" s="13">
        <v>2.2426871570663476</v>
      </c>
      <c r="L196" s="13">
        <v>5.535695284343705</v>
      </c>
      <c r="M196" s="13">
        <v>57.05339042269687</v>
      </c>
      <c r="N196" s="13">
        <v>3.6411428199039255</v>
      </c>
      <c r="O196" s="13">
        <v>13.038993097284207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6" t="s">
        <v>145</v>
      </c>
      <c r="C197" s="7">
        <v>0.0810052579809899</v>
      </c>
      <c r="D197" s="7">
        <v>0.0</v>
      </c>
      <c r="E197" s="7">
        <v>0.0</v>
      </c>
      <c r="F197" s="7">
        <v>0.1259929216648127</v>
      </c>
      <c r="G197" s="7">
        <v>0.13347658429701184</v>
      </c>
      <c r="H197" s="7">
        <v>0.06472589079674737</v>
      </c>
      <c r="I197" s="13">
        <v>0.79</v>
      </c>
      <c r="J197" s="13">
        <v>0.6004987431917872</v>
      </c>
      <c r="K197" s="13">
        <v>5.142453927375096</v>
      </c>
      <c r="L197" s="13">
        <v>3.677371691999319</v>
      </c>
      <c r="M197" s="13">
        <v>14.621746</v>
      </c>
      <c r="N197" s="13">
        <v>0.06424868294825142</v>
      </c>
      <c r="O197" s="13">
        <v>2.403320150134617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6" t="s">
        <v>189</v>
      </c>
      <c r="C198" s="7">
        <v>0.0</v>
      </c>
      <c r="D198" s="7">
        <v>0.0</v>
      </c>
      <c r="E198" s="7">
        <v>0.0</v>
      </c>
      <c r="F198" s="7">
        <v>0.06612524392296587</v>
      </c>
      <c r="G198" s="7">
        <v>0.04240627951466641</v>
      </c>
      <c r="H198" s="7">
        <v>0.03191217966962387</v>
      </c>
      <c r="I198" s="13">
        <v>1.16</v>
      </c>
      <c r="J198" s="13">
        <v>0.08160845268632046</v>
      </c>
      <c r="K198" s="13">
        <v>1.091827219964684</v>
      </c>
      <c r="L198" s="13">
        <v>17.071805016558987</v>
      </c>
      <c r="M198" s="13">
        <v>63.059509523872215</v>
      </c>
      <c r="N198" s="13">
        <v>2.2141955499853756</v>
      </c>
      <c r="O198" s="13">
        <v>7.734167205966131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6" t="s">
        <v>187</v>
      </c>
      <c r="C199" s="7">
        <v>0.01885562581386968</v>
      </c>
      <c r="D199" s="7">
        <v>0.03773901451731709</v>
      </c>
      <c r="E199" s="7">
        <v>0.0</v>
      </c>
      <c r="F199" s="7">
        <v>-0.0827124289854907</v>
      </c>
      <c r="G199" s="7">
        <v>-0.6386768475647797</v>
      </c>
      <c r="H199" s="7">
        <v>-0.13943833239981013</v>
      </c>
      <c r="I199" s="13">
        <v>0.23</v>
      </c>
      <c r="J199" s="13">
        <v>0.2005134631767239</v>
      </c>
      <c r="K199" s="13">
        <v>13.708379135054223</v>
      </c>
      <c r="L199" s="13">
        <v>-0.6826828620273837</v>
      </c>
      <c r="M199" s="13">
        <v>15.728573829684878</v>
      </c>
      <c r="N199" s="13">
        <v>0.010942156595854017</v>
      </c>
      <c r="O199" s="13">
        <v>-0.6949596456721091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6" t="s">
        <v>93</v>
      </c>
      <c r="C200" s="7">
        <v>0.08173367706896273</v>
      </c>
      <c r="D200" s="7">
        <v>0.1251757191505365</v>
      </c>
      <c r="E200" s="7">
        <v>0.08318493339810074</v>
      </c>
      <c r="F200" s="7">
        <v>0.1659840922629593</v>
      </c>
      <c r="G200" s="7">
        <v>0.13038419324264505</v>
      </c>
      <c r="H200" s="7">
        <v>0.07750002932558385</v>
      </c>
      <c r="I200" s="13">
        <v>1.23</v>
      </c>
      <c r="J200" s="13">
        <v>0.03395738881033396</v>
      </c>
      <c r="K200" s="13">
        <v>0.381649994864804</v>
      </c>
      <c r="L200" s="13">
        <v>62.95230570647349</v>
      </c>
      <c r="M200" s="13">
        <v>66.62439807162521</v>
      </c>
      <c r="N200" s="13">
        <v>2.1767604797318265</v>
      </c>
      <c r="O200" s="13">
        <v>5.935457028286285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6" t="s">
        <v>172</v>
      </c>
      <c r="C201" s="7">
        <v>0.0</v>
      </c>
      <c r="D201" s="7">
        <v>0.0</v>
      </c>
      <c r="E201" s="7">
        <v>0.0</v>
      </c>
      <c r="F201" s="7">
        <v>0.25283244485628303</v>
      </c>
      <c r="G201" s="7">
        <v>0.19361312479820594</v>
      </c>
      <c r="H201" s="7">
        <v>0.06710297376577644</v>
      </c>
      <c r="I201" s="13">
        <v>0.93</v>
      </c>
      <c r="J201" s="13">
        <v>0.3189933240032817</v>
      </c>
      <c r="K201" s="13">
        <v>1.3184225285555355</v>
      </c>
      <c r="L201" s="13">
        <v>8.555186024574782</v>
      </c>
      <c r="M201" s="13">
        <v>26.299185810374105</v>
      </c>
      <c r="N201" s="13">
        <v>6.051037898279373</v>
      </c>
      <c r="O201" s="13">
        <v>7.343843757175295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6" t="s">
        <v>106</v>
      </c>
      <c r="C202" s="7">
        <v>0.041800990214602596</v>
      </c>
      <c r="D202" s="7">
        <v>0.033948289612285354</v>
      </c>
      <c r="E202" s="7">
        <v>0.027845337147911042</v>
      </c>
      <c r="F202" s="7">
        <v>0.2169477698428729</v>
      </c>
      <c r="G202" s="7">
        <v>0.17997384467660685</v>
      </c>
      <c r="H202" s="7">
        <v>0.12762747623232715</v>
      </c>
      <c r="I202" s="13">
        <v>0.73</v>
      </c>
      <c r="J202" s="13">
        <v>0.12534560945432138</v>
      </c>
      <c r="K202" s="13">
        <v>0.5886642439495184</v>
      </c>
      <c r="L202" s="13">
        <v>24.414948374641465</v>
      </c>
      <c r="M202" s="13">
        <v>21.372719701807153</v>
      </c>
      <c r="N202" s="13">
        <v>1.4051564803156003</v>
      </c>
      <c r="O202" s="13">
        <v>4.366073447046237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6" t="s">
        <v>194</v>
      </c>
      <c r="C203" s="7">
        <v>0.08604513190673257</v>
      </c>
      <c r="D203" s="7">
        <v>0.06902495095066907</v>
      </c>
      <c r="E203" s="7">
        <v>-0.005389042358938889</v>
      </c>
      <c r="F203" s="7">
        <v>0.04813242130821807</v>
      </c>
      <c r="G203" s="7">
        <v>-0.03908657817849013</v>
      </c>
      <c r="H203" s="7">
        <v>-0.003185866048574314</v>
      </c>
      <c r="I203" s="13">
        <v>0.07</v>
      </c>
      <c r="J203" s="13">
        <v>8.803972617564243</v>
      </c>
      <c r="K203" s="13">
        <v>18.681744008798113</v>
      </c>
      <c r="L203" s="13">
        <v>1.0035990725715558</v>
      </c>
      <c r="M203" s="13">
        <v>19.9928735929013</v>
      </c>
      <c r="N203" s="13">
        <v>0.28778691077757507</v>
      </c>
      <c r="O203" s="13">
        <v>1.1076949647394674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6" t="s">
        <v>79</v>
      </c>
      <c r="C204" s="7">
        <v>0.07953484268785171</v>
      </c>
      <c r="D204" s="7">
        <v>0.11616935123652206</v>
      </c>
      <c r="E204" s="7">
        <v>0.10979990955253527</v>
      </c>
      <c r="F204" s="7">
        <v>0.142802562338035</v>
      </c>
      <c r="G204" s="7">
        <v>0.14710411970587867</v>
      </c>
      <c r="H204" s="7">
        <v>0.09643249580541131</v>
      </c>
      <c r="I204" s="13">
        <v>0.71</v>
      </c>
      <c r="J204" s="13">
        <v>0.35674809871437907</v>
      </c>
      <c r="K204" s="13">
        <v>2.5886690420965857</v>
      </c>
      <c r="L204" s="13">
        <v>20.421516910655427</v>
      </c>
      <c r="M204" s="13">
        <v>12.588403758902833</v>
      </c>
      <c r="N204" s="13">
        <v>0.22778660011905183</v>
      </c>
      <c r="O204" s="13">
        <v>4.209020627557209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O2"/>
    <mergeCell ref="C3:E3"/>
    <mergeCell ref="F3:I3"/>
    <mergeCell ref="J3:L3"/>
    <mergeCell ref="M3:O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14"/>
    <col customWidth="1" min="4" max="4" width="18.0"/>
    <col customWidth="1" min="5" max="5" width="20.14"/>
    <col customWidth="1" min="6" max="6" width="16.71"/>
    <col customWidth="1" min="7" max="7" width="15.57"/>
    <col customWidth="1" min="8" max="8" width="15.71"/>
    <col customWidth="1" min="9" max="9" width="31.14"/>
    <col customWidth="1" min="10" max="10" width="24.29"/>
    <col customWidth="1" min="11" max="11" width="25.14"/>
    <col customWidth="1" min="12" max="12" width="32.14"/>
    <col customWidth="1" min="13" max="13" width="24.29"/>
    <col customWidth="1" min="14" max="14" width="18.29"/>
    <col customWidth="1" min="15" max="15" width="18.0"/>
    <col customWidth="1" min="1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8" t="s">
        <v>226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0"/>
      <c r="C3" s="12" t="s">
        <v>209</v>
      </c>
      <c r="D3" s="9"/>
      <c r="E3" s="9"/>
      <c r="F3" s="12" t="s">
        <v>210</v>
      </c>
      <c r="G3" s="9"/>
      <c r="H3" s="9"/>
      <c r="I3" s="9"/>
      <c r="J3" s="12" t="s">
        <v>211</v>
      </c>
      <c r="K3" s="9"/>
      <c r="L3" s="9"/>
      <c r="M3" s="12" t="s">
        <v>212</v>
      </c>
      <c r="N3" s="9"/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1</v>
      </c>
      <c r="B4" s="4" t="s">
        <v>2</v>
      </c>
      <c r="C4" s="4" t="s">
        <v>213</v>
      </c>
      <c r="D4" s="4" t="s">
        <v>214</v>
      </c>
      <c r="E4" s="4" t="s">
        <v>215</v>
      </c>
      <c r="F4" s="4" t="s">
        <v>216</v>
      </c>
      <c r="G4" s="4" t="s">
        <v>217</v>
      </c>
      <c r="H4" s="4" t="s">
        <v>218</v>
      </c>
      <c r="I4" s="4" t="s">
        <v>219</v>
      </c>
      <c r="J4" s="4" t="s">
        <v>220</v>
      </c>
      <c r="K4" s="4" t="s">
        <v>221</v>
      </c>
      <c r="L4" s="4" t="s">
        <v>222</v>
      </c>
      <c r="M4" s="4" t="s">
        <v>223</v>
      </c>
      <c r="N4" s="4" t="s">
        <v>224</v>
      </c>
      <c r="O4" s="4" t="s">
        <v>225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115</v>
      </c>
      <c r="C5" s="7">
        <f>IFERROR(_xlfn.PERCENTRANK.INC('Master Data'!$C$5:$C$204,'Master Data'!$C5),0)</f>
        <v>0.276</v>
      </c>
      <c r="D5" s="7">
        <f>IFERROR(_xlfn.PERCENTRANK.INC('Master Data'!$D$5:$D$204,'Master Data'!$D5),0)</f>
        <v>0.648</v>
      </c>
      <c r="E5" s="7">
        <f>IFERROR(_xlfn.PERCENTRANK.INC('Master Data'!$E$5:$E$204,'Master Data'!$E5),0)</f>
        <v>0.578</v>
      </c>
      <c r="F5" s="7">
        <f>IFERROR(_xlfn.PERCENTRANK.INC('Master Data'!$F$5:$F$204,'Master Data'!$F5),0)</f>
        <v>0.513</v>
      </c>
      <c r="G5" s="7">
        <f>IFERROR(_xlfn.PERCENTRANK.INC('Master Data'!$G$5:$G$204,'Master Data'!$G5),0)</f>
        <v>0.548</v>
      </c>
      <c r="H5" s="7">
        <f>IFERROR(_xlfn.PERCENTRANK.INC('Master Data'!$H$5:$H$204,'Master Data'!$H5),0)</f>
        <v>0.704</v>
      </c>
      <c r="I5" s="7">
        <f>IFERROR(_xlfn.PERCENTRANK.INC('Master Data'!$I$5:$I$204,'Master Data'!$I5),0)</f>
        <v>0.226</v>
      </c>
      <c r="J5" s="7">
        <f>IFERROR(1-_xlfn.PERCENTRANK.INC('Master Data'!$J$5:$J$204,'Master Data'!$J5),0)</f>
        <v>0.472</v>
      </c>
      <c r="K5" s="7">
        <f>IFERROR(1-_xlfn.PERCENTRANK.INC('Master Data'!$K$5:$K$204,'Master Data'!$K5),0)</f>
        <v>0.613</v>
      </c>
      <c r="L5" s="7">
        <f>IFERROR(_xlfn.PERCENTRANK.INC('Master Data'!$L$5:$L$204,'Master Data'!$L5),0)</f>
        <v>0.477</v>
      </c>
      <c r="M5" s="7">
        <f>IFERROR(1-_xlfn.PERCENTRANK.INC('Master Data'!$M$5:$M$204,'Master Data'!$M5),0)</f>
        <v>0.151</v>
      </c>
      <c r="N5" s="7">
        <f>IFERROR(1-_xlfn.PERCENTRANK.INC('Master Data'!$N$5:$N$204,'Master Data'!$N5),0)</f>
        <v>0.834</v>
      </c>
      <c r="O5" s="7">
        <f>IFERROR(1-_xlfn.PERCENTRANK.INC('Master Data'!$O$5:$O$204,'Master Data'!$O5),0)</f>
        <v>0.417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100</v>
      </c>
      <c r="C6" s="7">
        <f>IFERROR(_xlfn.PERCENTRANK.INC('Master Data'!$C$5:$C$204,'Master Data'!$C6),0)</f>
        <v>0.211</v>
      </c>
      <c r="D6" s="7">
        <f>IFERROR(_xlfn.PERCENTRANK.INC('Master Data'!$D$5:$D$204,'Master Data'!$D6),0)</f>
        <v>0.608</v>
      </c>
      <c r="E6" s="7">
        <f>IFERROR(_xlfn.PERCENTRANK.INC('Master Data'!$E$5:$E$204,'Master Data'!$E6),0)</f>
        <v>0.799</v>
      </c>
      <c r="F6" s="7">
        <f>IFERROR(_xlfn.PERCENTRANK.INC('Master Data'!$F$5:$F$204,'Master Data'!$F6),0)</f>
        <v>0.698</v>
      </c>
      <c r="G6" s="7">
        <f>IFERROR(_xlfn.PERCENTRANK.INC('Master Data'!$G$5:$G$204,'Master Data'!$G6),0)</f>
        <v>0.553</v>
      </c>
      <c r="H6" s="7">
        <f>IFERROR(_xlfn.PERCENTRANK.INC('Master Data'!$H$5:$H$204,'Master Data'!$H6),0)</f>
        <v>0.573</v>
      </c>
      <c r="I6" s="7">
        <f>IFERROR(_xlfn.PERCENTRANK.INC('Master Data'!$I$5:$I$204,'Master Data'!$I6),0)</f>
        <v>0.744</v>
      </c>
      <c r="J6" s="7">
        <f>IFERROR(1-_xlfn.PERCENTRANK.INC('Master Data'!$J$5:$J$204,'Master Data'!$J6),0)</f>
        <v>0.789</v>
      </c>
      <c r="K6" s="7">
        <f>IFERROR(1-_xlfn.PERCENTRANK.INC('Master Data'!$K$5:$K$204,'Master Data'!$K6),0)</f>
        <v>0.668</v>
      </c>
      <c r="L6" s="7">
        <f>IFERROR(_xlfn.PERCENTRANK.INC('Master Data'!$L$5:$L$204,'Master Data'!$L6),0)</f>
        <v>0.714</v>
      </c>
      <c r="M6" s="7">
        <f>IFERROR(1-_xlfn.PERCENTRANK.INC('Master Data'!$M$5:$M$204,'Master Data'!$M6),0)</f>
        <v>0.181</v>
      </c>
      <c r="N6" s="7">
        <f>IFERROR(1-_xlfn.PERCENTRANK.INC('Master Data'!$N$5:$N$204,'Master Data'!$N6),0)</f>
        <v>0.337</v>
      </c>
      <c r="O6" s="7">
        <f>IFERROR(1-_xlfn.PERCENTRANK.INC('Master Data'!$O$5:$O$204,'Master Data'!$O6),0)</f>
        <v>0.06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 t="s">
        <v>45</v>
      </c>
      <c r="C7" s="7">
        <f>IFERROR(_xlfn.PERCENTRANK.INC('Master Data'!$C$5:$C$204,'Master Data'!$C7),0)</f>
        <v>0.302</v>
      </c>
      <c r="D7" s="7">
        <f>IFERROR(_xlfn.PERCENTRANK.INC('Master Data'!$D$5:$D$204,'Master Data'!$D7),0)</f>
        <v>0.362</v>
      </c>
      <c r="E7" s="7">
        <f>IFERROR(_xlfn.PERCENTRANK.INC('Master Data'!$E$5:$E$204,'Master Data'!$E7),0)</f>
        <v>0.698</v>
      </c>
      <c r="F7" s="7">
        <f>IFERROR(_xlfn.PERCENTRANK.INC('Master Data'!$F$5:$F$204,'Master Data'!$F7),0)</f>
        <v>0.533</v>
      </c>
      <c r="G7" s="7">
        <f>IFERROR(_xlfn.PERCENTRANK.INC('Master Data'!$G$5:$G$204,'Master Data'!$G7),0)</f>
        <v>0.347</v>
      </c>
      <c r="H7" s="7">
        <f>IFERROR(_xlfn.PERCENTRANK.INC('Master Data'!$H$5:$H$204,'Master Data'!$H7),0)</f>
        <v>0.593</v>
      </c>
      <c r="I7" s="7">
        <f>IFERROR(_xlfn.PERCENTRANK.INC('Master Data'!$I$5:$I$204,'Master Data'!$I7),0)</f>
        <v>0.663</v>
      </c>
      <c r="J7" s="7">
        <f>IFERROR(1-_xlfn.PERCENTRANK.INC('Master Data'!$J$5:$J$204,'Master Data'!$J7),0)</f>
        <v>0.869</v>
      </c>
      <c r="K7" s="7">
        <f>IFERROR(1-_xlfn.PERCENTRANK.INC('Master Data'!$K$5:$K$204,'Master Data'!$K7),0)</f>
        <v>0.814</v>
      </c>
      <c r="L7" s="7">
        <f>IFERROR(_xlfn.PERCENTRANK.INC('Master Data'!$L$5:$L$204,'Master Data'!$L7),0)</f>
        <v>0.588</v>
      </c>
      <c r="M7" s="7">
        <f>IFERROR(1-_xlfn.PERCENTRANK.INC('Master Data'!$M$5:$M$204,'Master Data'!$M7),0)</f>
        <v>0.864</v>
      </c>
      <c r="N7" s="7">
        <f>IFERROR(1-_xlfn.PERCENTRANK.INC('Master Data'!$N$5:$N$204,'Master Data'!$N7),0)</f>
        <v>0.427</v>
      </c>
      <c r="O7" s="7">
        <f>IFERROR(1-_xlfn.PERCENTRANK.INC('Master Data'!$O$5:$O$204,'Master Data'!$O7),0)</f>
        <v>0.834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" t="s">
        <v>178</v>
      </c>
      <c r="C8" s="7">
        <f>IFERROR(_xlfn.PERCENTRANK.INC('Master Data'!$C$5:$C$204,'Master Data'!$C8),0)</f>
        <v>0.93</v>
      </c>
      <c r="D8" s="7">
        <f>IFERROR(_xlfn.PERCENTRANK.INC('Master Data'!$D$5:$D$204,'Master Data'!$D8),0)</f>
        <v>0.02</v>
      </c>
      <c r="E8" s="7">
        <f>IFERROR(_xlfn.PERCENTRANK.INC('Master Data'!$E$5:$E$204,'Master Data'!$E8),0)</f>
        <v>0.04</v>
      </c>
      <c r="F8" s="7">
        <f>IFERROR(_xlfn.PERCENTRANK.INC('Master Data'!$F$5:$F$204,'Master Data'!$F8),0)</f>
        <v>0.176</v>
      </c>
      <c r="G8" s="7">
        <f>IFERROR(_xlfn.PERCENTRANK.INC('Master Data'!$G$5:$G$204,'Master Data'!$G8),0)</f>
        <v>0.08</v>
      </c>
      <c r="H8" s="7">
        <f>IFERROR(_xlfn.PERCENTRANK.INC('Master Data'!$H$5:$H$204,'Master Data'!$H8),0)</f>
        <v>0.121</v>
      </c>
      <c r="I8" s="7">
        <f>IFERROR(_xlfn.PERCENTRANK.INC('Master Data'!$I$5:$I$204,'Master Data'!$I8),0)</f>
        <v>0.327</v>
      </c>
      <c r="J8" s="7">
        <f>IFERROR(1-_xlfn.PERCENTRANK.INC('Master Data'!$J$5:$J$204,'Master Data'!$J8),0)</f>
        <v>0.186</v>
      </c>
      <c r="K8" s="7">
        <f>IFERROR(1-_xlfn.PERCENTRANK.INC('Master Data'!$K$5:$K$204,'Master Data'!$K8),0)</f>
        <v>1</v>
      </c>
      <c r="L8" s="7">
        <f>IFERROR(_xlfn.PERCENTRANK.INC('Master Data'!$L$5:$L$204,'Master Data'!$L8),0)</f>
        <v>0.111</v>
      </c>
      <c r="M8" s="7">
        <f>IFERROR(1-_xlfn.PERCENTRANK.INC('Master Data'!$M$5:$M$204,'Master Data'!$M8),0)</f>
        <v>0</v>
      </c>
      <c r="N8" s="7">
        <f>IFERROR(1-_xlfn.PERCENTRANK.INC('Master Data'!$N$5:$N$204,'Master Data'!$N8),0)</f>
        <v>0.99</v>
      </c>
      <c r="O8" s="7">
        <f>IFERROR(1-_xlfn.PERCENTRANK.INC('Master Data'!$O$5:$O$204,'Master Data'!$O8),0)</f>
        <v>0.528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 t="s">
        <v>125</v>
      </c>
      <c r="C9" s="7">
        <f>IFERROR(_xlfn.PERCENTRANK.INC('Master Data'!$C$5:$C$204,'Master Data'!$C9),0)</f>
        <v>0.698</v>
      </c>
      <c r="D9" s="7">
        <f>IFERROR(_xlfn.PERCENTRANK.INC('Master Data'!$D$5:$D$204,'Master Data'!$D9),0)</f>
        <v>0.945</v>
      </c>
      <c r="E9" s="7">
        <f>IFERROR(_xlfn.PERCENTRANK.INC('Master Data'!$E$5:$E$204,'Master Data'!$E9),0)</f>
        <v>0.93</v>
      </c>
      <c r="F9" s="7">
        <f>IFERROR(_xlfn.PERCENTRANK.INC('Master Data'!$F$5:$F$204,'Master Data'!$F9),0)</f>
        <v>0.578</v>
      </c>
      <c r="G9" s="7">
        <f>IFERROR(_xlfn.PERCENTRANK.INC('Master Data'!$G$5:$G$204,'Master Data'!$G9),0)</f>
        <v>0.467</v>
      </c>
      <c r="H9" s="7">
        <f>IFERROR(_xlfn.PERCENTRANK.INC('Master Data'!$H$5:$H$204,'Master Data'!$H9),0)</f>
        <v>0.397</v>
      </c>
      <c r="I9" s="7">
        <f>IFERROR(_xlfn.PERCENTRANK.INC('Master Data'!$I$5:$I$204,'Master Data'!$I9),0)</f>
        <v>0.407</v>
      </c>
      <c r="J9" s="7">
        <f>IFERROR(1-_xlfn.PERCENTRANK.INC('Master Data'!$J$5:$J$204,'Master Data'!$J9),0)</f>
        <v>0.266</v>
      </c>
      <c r="K9" s="7">
        <f>IFERROR(1-_xlfn.PERCENTRANK.INC('Master Data'!$K$5:$K$204,'Master Data'!$K9),0)</f>
        <v>0.241</v>
      </c>
      <c r="L9" s="7">
        <f>IFERROR(_xlfn.PERCENTRANK.INC('Master Data'!$L$5:$L$204,'Master Data'!$L9),0)</f>
        <v>0.307</v>
      </c>
      <c r="M9" s="7">
        <f>IFERROR(1-_xlfn.PERCENTRANK.INC('Master Data'!$M$5:$M$204,'Master Data'!$M9),0)</f>
        <v>0.09</v>
      </c>
      <c r="N9" s="7">
        <f>IFERROR(1-_xlfn.PERCENTRANK.INC('Master Data'!$N$5:$N$204,'Master Data'!$N9),0)</f>
        <v>0.598</v>
      </c>
      <c r="O9" s="7">
        <f>IFERROR(1-_xlfn.PERCENTRANK.INC('Master Data'!$O$5:$O$204,'Master Data'!$O9),0)</f>
        <v>0.281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207</v>
      </c>
      <c r="C10" s="7">
        <f>IFERROR(_xlfn.PERCENTRANK.INC('Master Data'!$C$5:$C$204,'Master Data'!$C10),0)</f>
        <v>0.03</v>
      </c>
      <c r="D10" s="7">
        <f>IFERROR(_xlfn.PERCENTRANK.INC('Master Data'!$D$5:$D$204,'Master Data'!$D10),0)</f>
        <v>0.05</v>
      </c>
      <c r="E10" s="7">
        <f>IFERROR(_xlfn.PERCENTRANK.INC('Master Data'!$E$5:$E$204,'Master Data'!$E10),0)</f>
        <v>0.04</v>
      </c>
      <c r="F10" s="7">
        <f>IFERROR(_xlfn.PERCENTRANK.INC('Master Data'!$F$5:$F$204,'Master Data'!$F10),0)</f>
        <v>0.075</v>
      </c>
      <c r="G10" s="7">
        <f>IFERROR(_xlfn.PERCENTRANK.INC('Master Data'!$G$5:$G$204,'Master Data'!$G10),0)</f>
        <v>0.065</v>
      </c>
      <c r="H10" s="7">
        <f>IFERROR(_xlfn.PERCENTRANK.INC('Master Data'!$H$5:$H$204,'Master Data'!$H10),0)</f>
        <v>0.05</v>
      </c>
      <c r="I10" s="7">
        <f>IFERROR(_xlfn.PERCENTRANK.INC('Master Data'!$I$5:$I$204,'Master Data'!$I10),0)</f>
        <v>0.131</v>
      </c>
      <c r="J10" s="7">
        <f>IFERROR(1-_xlfn.PERCENTRANK.INC('Master Data'!$J$5:$J$204,'Master Data'!$J10),0)</f>
        <v>0.156</v>
      </c>
      <c r="K10" s="7">
        <f>IFERROR(1-_xlfn.PERCENTRANK.INC('Master Data'!$K$5:$K$204,'Master Data'!$K10),0)</f>
        <v>0.015</v>
      </c>
      <c r="L10" s="7">
        <f>IFERROR(_xlfn.PERCENTRANK.INC('Master Data'!$L$5:$L$204,'Master Data'!$L10),0)</f>
        <v>0.04</v>
      </c>
      <c r="M10" s="7">
        <f>IFERROR(1-_xlfn.PERCENTRANK.INC('Master Data'!$M$5:$M$204,'Master Data'!$M10),0)</f>
        <v>0.085</v>
      </c>
      <c r="N10" s="7">
        <f>IFERROR(1-_xlfn.PERCENTRANK.INC('Master Data'!$N$5:$N$204,'Master Data'!$N10),0)</f>
        <v>0.05</v>
      </c>
      <c r="O10" s="7">
        <f>IFERROR(1-_xlfn.PERCENTRANK.INC('Master Data'!$O$5:$O$204,'Master Data'!$O10),0)</f>
        <v>0.08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203</v>
      </c>
      <c r="C11" s="7">
        <f>IFERROR(_xlfn.PERCENTRANK.INC('Master Data'!$C$5:$C$204,'Master Data'!$C11),0)</f>
        <v>0.261</v>
      </c>
      <c r="D11" s="7">
        <f>IFERROR(_xlfn.PERCENTRANK.INC('Master Data'!$D$5:$D$204,'Master Data'!$D11),0)</f>
        <v>0.302</v>
      </c>
      <c r="E11" s="7">
        <f>IFERROR(_xlfn.PERCENTRANK.INC('Master Data'!$E$5:$E$204,'Master Data'!$E11),0)</f>
        <v>0.025</v>
      </c>
      <c r="F11" s="7">
        <f>IFERROR(_xlfn.PERCENTRANK.INC('Master Data'!$F$5:$F$204,'Master Data'!$F11),0)</f>
        <v>0.307</v>
      </c>
      <c r="G11" s="7">
        <f>IFERROR(_xlfn.PERCENTRANK.INC('Master Data'!$G$5:$G$204,'Master Data'!$G11),0)</f>
        <v>0.256</v>
      </c>
      <c r="H11" s="7">
        <f>IFERROR(_xlfn.PERCENTRANK.INC('Master Data'!$H$5:$H$204,'Master Data'!$H11),0)</f>
        <v>0.322</v>
      </c>
      <c r="I11" s="7">
        <f>IFERROR(_xlfn.PERCENTRANK.INC('Master Data'!$I$5:$I$204,'Master Data'!$I11),0)</f>
        <v>0.246</v>
      </c>
      <c r="J11" s="7">
        <f>IFERROR(1-_xlfn.PERCENTRANK.INC('Master Data'!$J$5:$J$204,'Master Data'!$J11),0)</f>
        <v>0.196</v>
      </c>
      <c r="K11" s="7">
        <f>IFERROR(1-_xlfn.PERCENTRANK.INC('Master Data'!$K$5:$K$204,'Master Data'!$K11),0)</f>
        <v>0.141</v>
      </c>
      <c r="L11" s="7">
        <f>IFERROR(_xlfn.PERCENTRANK.INC('Master Data'!$L$5:$L$204,'Master Data'!$L11),0)</f>
        <v>0.236</v>
      </c>
      <c r="M11" s="7">
        <f>IFERROR(1-_xlfn.PERCENTRANK.INC('Master Data'!$M$5:$M$204,'Master Data'!$M11),0)</f>
        <v>0.211</v>
      </c>
      <c r="N11" s="7">
        <f>IFERROR(1-_xlfn.PERCENTRANK.INC('Master Data'!$N$5:$N$204,'Master Data'!$N11),0)</f>
        <v>0.236</v>
      </c>
      <c r="O11" s="7">
        <f>IFERROR(1-_xlfn.PERCENTRANK.INC('Master Data'!$O$5:$O$204,'Master Data'!$O11),0)</f>
        <v>0.342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53</v>
      </c>
      <c r="C12" s="7">
        <f>IFERROR(_xlfn.PERCENTRANK.INC('Master Data'!$C$5:$C$204,'Master Data'!$C12),0)</f>
        <v>0.794</v>
      </c>
      <c r="D12" s="7">
        <f>IFERROR(_xlfn.PERCENTRANK.INC('Master Data'!$D$5:$D$204,'Master Data'!$D12),0)</f>
        <v>0.844</v>
      </c>
      <c r="E12" s="7">
        <f>IFERROR(_xlfn.PERCENTRANK.INC('Master Data'!$E$5:$E$204,'Master Data'!$E12),0)</f>
        <v>1</v>
      </c>
      <c r="F12" s="7">
        <f>IFERROR(_xlfn.PERCENTRANK.INC('Master Data'!$F$5:$F$204,'Master Data'!$F12),0)</f>
        <v>0.352</v>
      </c>
      <c r="G12" s="7">
        <f>IFERROR(_xlfn.PERCENTRANK.INC('Master Data'!$G$5:$G$204,'Master Data'!$G12),0)</f>
        <v>0.05</v>
      </c>
      <c r="H12" s="7">
        <f>IFERROR(_xlfn.PERCENTRANK.INC('Master Data'!$H$5:$H$204,'Master Data'!$H12),0)</f>
        <v>0.332</v>
      </c>
      <c r="I12" s="7">
        <f>IFERROR(_xlfn.PERCENTRANK.INC('Master Data'!$I$5:$I$204,'Master Data'!$I12),0)</f>
        <v>0.407</v>
      </c>
      <c r="J12" s="7">
        <f>IFERROR(1-_xlfn.PERCENTRANK.INC('Master Data'!$J$5:$J$204,'Master Data'!$J12),0)</f>
        <v>0.191</v>
      </c>
      <c r="K12" s="7">
        <f>IFERROR(1-_xlfn.PERCENTRANK.INC('Master Data'!$K$5:$K$204,'Master Data'!$K12),0)</f>
        <v>0.995</v>
      </c>
      <c r="L12" s="7">
        <f>IFERROR(_xlfn.PERCENTRANK.INC('Master Data'!$L$5:$L$204,'Master Data'!$L12),0)</f>
        <v>0.216</v>
      </c>
      <c r="M12" s="7">
        <f>IFERROR(1-_xlfn.PERCENTRANK.INC('Master Data'!$M$5:$M$204,'Master Data'!$M12),0)</f>
        <v>0.874</v>
      </c>
      <c r="N12" s="7">
        <f>IFERROR(1-_xlfn.PERCENTRANK.INC('Master Data'!$N$5:$N$204,'Master Data'!$N12),0)</f>
        <v>0.769</v>
      </c>
      <c r="O12" s="7">
        <f>IFERROR(1-_xlfn.PERCENTRANK.INC('Master Data'!$O$5:$O$204,'Master Data'!$O12),0)</f>
        <v>0.623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50</v>
      </c>
      <c r="C13" s="7">
        <f>IFERROR(_xlfn.PERCENTRANK.INC('Master Data'!$C$5:$C$204,'Master Data'!$C13),0)</f>
        <v>0.859</v>
      </c>
      <c r="D13" s="7">
        <f>IFERROR(_xlfn.PERCENTRANK.INC('Master Data'!$D$5:$D$204,'Master Data'!$D13),0)</f>
        <v>0.829</v>
      </c>
      <c r="E13" s="7">
        <f>IFERROR(_xlfn.PERCENTRANK.INC('Master Data'!$E$5:$E$204,'Master Data'!$E13),0)</f>
        <v>0.869</v>
      </c>
      <c r="F13" s="7">
        <f>IFERROR(_xlfn.PERCENTRANK.INC('Master Data'!$F$5:$F$204,'Master Data'!$F13),0)</f>
        <v>0.719</v>
      </c>
      <c r="G13" s="7">
        <f>IFERROR(_xlfn.PERCENTRANK.INC('Master Data'!$G$5:$G$204,'Master Data'!$G13),0)</f>
        <v>0.779</v>
      </c>
      <c r="H13" s="7">
        <f>IFERROR(_xlfn.PERCENTRANK.INC('Master Data'!$H$5:$H$204,'Master Data'!$H13),0)</f>
        <v>0.744</v>
      </c>
      <c r="I13" s="7">
        <f>IFERROR(_xlfn.PERCENTRANK.INC('Master Data'!$I$5:$I$204,'Master Data'!$I13),0)</f>
        <v>0.513</v>
      </c>
      <c r="J13" s="7">
        <f>IFERROR(1-_xlfn.PERCENTRANK.INC('Master Data'!$J$5:$J$204,'Master Data'!$J13),0)</f>
        <v>0.357</v>
      </c>
      <c r="K13" s="7">
        <f>IFERROR(1-_xlfn.PERCENTRANK.INC('Master Data'!$K$5:$K$204,'Master Data'!$K13),0)</f>
        <v>0.452</v>
      </c>
      <c r="L13" s="7">
        <f>IFERROR(_xlfn.PERCENTRANK.INC('Master Data'!$L$5:$L$204,'Master Data'!$L13),0)</f>
        <v>0.462</v>
      </c>
      <c r="M13" s="7">
        <f>IFERROR(1-_xlfn.PERCENTRANK.INC('Master Data'!$M$5:$M$204,'Master Data'!$M13),0)</f>
        <v>0.191</v>
      </c>
      <c r="N13" s="7">
        <f>IFERROR(1-_xlfn.PERCENTRANK.INC('Master Data'!$N$5:$N$204,'Master Data'!$N13),0)</f>
        <v>1</v>
      </c>
      <c r="O13" s="7">
        <f>IFERROR(1-_xlfn.PERCENTRANK.INC('Master Data'!$O$5:$O$204,'Master Data'!$O13),0)</f>
        <v>0.116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134</v>
      </c>
      <c r="C14" s="7">
        <f>IFERROR(_xlfn.PERCENTRANK.INC('Master Data'!$C$5:$C$204,'Master Data'!$C14),0)</f>
        <v>1</v>
      </c>
      <c r="D14" s="7">
        <f>IFERROR(_xlfn.PERCENTRANK.INC('Master Data'!$D$5:$D$204,'Master Data'!$D14),0)</f>
        <v>1</v>
      </c>
      <c r="E14" s="7">
        <f>IFERROR(_xlfn.PERCENTRANK.INC('Master Data'!$E$5:$E$204,'Master Data'!$E14),0)</f>
        <v>0.04</v>
      </c>
      <c r="F14" s="7">
        <f>IFERROR(_xlfn.PERCENTRANK.INC('Master Data'!$F$5:$F$204,'Master Data'!$F14),0)</f>
        <v>0.055</v>
      </c>
      <c r="G14" s="7">
        <f>IFERROR(_xlfn.PERCENTRANK.INC('Master Data'!$G$5:$G$204,'Master Data'!$G14),0)</f>
        <v>0.116</v>
      </c>
      <c r="H14" s="7">
        <f>IFERROR(_xlfn.PERCENTRANK.INC('Master Data'!$H$5:$H$204,'Master Data'!$H14),0)</f>
        <v>0.156</v>
      </c>
      <c r="I14" s="7">
        <f>IFERROR(_xlfn.PERCENTRANK.INC('Master Data'!$I$5:$I$204,'Master Data'!$I14),0)</f>
        <v>0.186</v>
      </c>
      <c r="J14" s="7">
        <f>IFERROR(1-_xlfn.PERCENTRANK.INC('Master Data'!$J$5:$J$204,'Master Data'!$J14),0)</f>
        <v>0.236</v>
      </c>
      <c r="K14" s="7">
        <f>IFERROR(1-_xlfn.PERCENTRANK.INC('Master Data'!$K$5:$K$204,'Master Data'!$K14),0)</f>
        <v>0.095</v>
      </c>
      <c r="L14" s="7">
        <f>IFERROR(_xlfn.PERCENTRANK.INC('Master Data'!$L$5:$L$204,'Master Data'!$L14),0)</f>
        <v>0.965</v>
      </c>
      <c r="M14" s="7">
        <f>IFERROR(1-_xlfn.PERCENTRANK.INC('Master Data'!$M$5:$M$204,'Master Data'!$M14),0)</f>
        <v>0.814</v>
      </c>
      <c r="N14" s="7">
        <f>IFERROR(1-_xlfn.PERCENTRANK.INC('Master Data'!$N$5:$N$204,'Master Data'!$N14),0)</f>
        <v>0.015</v>
      </c>
      <c r="O14" s="7">
        <f>IFERROR(1-_xlfn.PERCENTRANK.INC('Master Data'!$O$5:$O$204,'Master Data'!$O14),0)</f>
        <v>0.844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69</v>
      </c>
      <c r="C15" s="7">
        <f>IFERROR(_xlfn.PERCENTRANK.INC('Master Data'!$C$5:$C$204,'Master Data'!$C15),0)</f>
        <v>0.447</v>
      </c>
      <c r="D15" s="7">
        <f>IFERROR(_xlfn.PERCENTRANK.INC('Master Data'!$D$5:$D$204,'Master Data'!$D15),0)</f>
        <v>0.568</v>
      </c>
      <c r="E15" s="7">
        <f>IFERROR(_xlfn.PERCENTRANK.INC('Master Data'!$E$5:$E$204,'Master Data'!$E15),0)</f>
        <v>0.583</v>
      </c>
      <c r="F15" s="7">
        <f>IFERROR(_xlfn.PERCENTRANK.INC('Master Data'!$F$5:$F$204,'Master Data'!$F15),0)</f>
        <v>0.623</v>
      </c>
      <c r="G15" s="7">
        <f>IFERROR(_xlfn.PERCENTRANK.INC('Master Data'!$G$5:$G$204,'Master Data'!$G15),0)</f>
        <v>0.683</v>
      </c>
      <c r="H15" s="7">
        <f>IFERROR(_xlfn.PERCENTRANK.INC('Master Data'!$H$5:$H$204,'Master Data'!$H15),0)</f>
        <v>0.809</v>
      </c>
      <c r="I15" s="7">
        <f>IFERROR(_xlfn.PERCENTRANK.INC('Master Data'!$I$5:$I$204,'Master Data'!$I15),0)</f>
        <v>0.578</v>
      </c>
      <c r="J15" s="7">
        <f>IFERROR(1-_xlfn.PERCENTRANK.INC('Master Data'!$J$5:$J$204,'Master Data'!$J15),0)</f>
        <v>0.588</v>
      </c>
      <c r="K15" s="7">
        <f>IFERROR(1-_xlfn.PERCENTRANK.INC('Master Data'!$K$5:$K$204,'Master Data'!$K15),0)</f>
        <v>0.548</v>
      </c>
      <c r="L15" s="7">
        <f>IFERROR(_xlfn.PERCENTRANK.INC('Master Data'!$L$5:$L$204,'Master Data'!$L15),0)</f>
        <v>0.658</v>
      </c>
      <c r="M15" s="7">
        <f>IFERROR(1-_xlfn.PERCENTRANK.INC('Master Data'!$M$5:$M$204,'Master Data'!$M15),0)</f>
        <v>0.497</v>
      </c>
      <c r="N15" s="7">
        <f>IFERROR(1-_xlfn.PERCENTRANK.INC('Master Data'!$N$5:$N$204,'Master Data'!$N15),0)</f>
        <v>0.467</v>
      </c>
      <c r="O15" s="7">
        <f>IFERROR(1-_xlfn.PERCENTRANK.INC('Master Data'!$O$5:$O$204,'Master Data'!$O15),0)</f>
        <v>0.583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 t="s">
        <v>99</v>
      </c>
      <c r="C16" s="7">
        <f>IFERROR(_xlfn.PERCENTRANK.INC('Master Data'!$C$5:$C$204,'Master Data'!$C16),0)</f>
        <v>0.367</v>
      </c>
      <c r="D16" s="7">
        <f>IFERROR(_xlfn.PERCENTRANK.INC('Master Data'!$D$5:$D$204,'Master Data'!$D16),0)</f>
        <v>0.337</v>
      </c>
      <c r="E16" s="7">
        <f>IFERROR(_xlfn.PERCENTRANK.INC('Master Data'!$E$5:$E$204,'Master Data'!$E16),0)</f>
        <v>0.719</v>
      </c>
      <c r="F16" s="7">
        <f>IFERROR(_xlfn.PERCENTRANK.INC('Master Data'!$F$5:$F$204,'Master Data'!$F16),0)</f>
        <v>0.327</v>
      </c>
      <c r="G16" s="7">
        <f>IFERROR(_xlfn.PERCENTRANK.INC('Master Data'!$G$5:$G$204,'Master Data'!$G16),0)</f>
        <v>0.221</v>
      </c>
      <c r="H16" s="7">
        <f>IFERROR(_xlfn.PERCENTRANK.INC('Master Data'!$H$5:$H$204,'Master Data'!$H16),0)</f>
        <v>0.482</v>
      </c>
      <c r="I16" s="7">
        <f>IFERROR(_xlfn.PERCENTRANK.INC('Master Data'!$I$5:$I$204,'Master Data'!$I16),0)</f>
        <v>0.372</v>
      </c>
      <c r="J16" s="7">
        <f>IFERROR(1-_xlfn.PERCENTRANK.INC('Master Data'!$J$5:$J$204,'Master Data'!$J16),0)</f>
        <v>0.884</v>
      </c>
      <c r="K16" s="7">
        <f>IFERROR(1-_xlfn.PERCENTRANK.INC('Master Data'!$K$5:$K$204,'Master Data'!$K16),0)</f>
        <v>0.784</v>
      </c>
      <c r="L16" s="7">
        <f>IFERROR(_xlfn.PERCENTRANK.INC('Master Data'!$L$5:$L$204,'Master Data'!$L16),0)</f>
        <v>0.603</v>
      </c>
      <c r="M16" s="7">
        <f>IFERROR(1-_xlfn.PERCENTRANK.INC('Master Data'!$M$5:$M$204,'Master Data'!$M16),0)</f>
        <v>0.322</v>
      </c>
      <c r="N16" s="7">
        <f>IFERROR(1-_xlfn.PERCENTRANK.INC('Master Data'!$N$5:$N$204,'Master Data'!$N16),0)</f>
        <v>0.472</v>
      </c>
      <c r="O16" s="7">
        <f>IFERROR(1-_xlfn.PERCENTRANK.INC('Master Data'!$O$5:$O$204,'Master Data'!$O16),0)</f>
        <v>0.774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56</v>
      </c>
      <c r="C17" s="7">
        <f>IFERROR(_xlfn.PERCENTRANK.INC('Master Data'!$C$5:$C$204,'Master Data'!$C17),0)</f>
        <v>0.864</v>
      </c>
      <c r="D17" s="7">
        <f>IFERROR(_xlfn.PERCENTRANK.INC('Master Data'!$D$5:$D$204,'Master Data'!$D17),0)</f>
        <v>0.804</v>
      </c>
      <c r="E17" s="7">
        <f>IFERROR(_xlfn.PERCENTRANK.INC('Master Data'!$E$5:$E$204,'Master Data'!$E17),0)</f>
        <v>0.915</v>
      </c>
      <c r="F17" s="7">
        <f>IFERROR(_xlfn.PERCENTRANK.INC('Master Data'!$F$5:$F$204,'Master Data'!$F17),0)</f>
        <v>0.608</v>
      </c>
      <c r="G17" s="7">
        <f>IFERROR(_xlfn.PERCENTRANK.INC('Master Data'!$G$5:$G$204,'Master Data'!$G17),0)</f>
        <v>0.518</v>
      </c>
      <c r="H17" s="7">
        <f>IFERROR(_xlfn.PERCENTRANK.INC('Master Data'!$H$5:$H$204,'Master Data'!$H17),0)</f>
        <v>0.568</v>
      </c>
      <c r="I17" s="7">
        <f>IFERROR(_xlfn.PERCENTRANK.INC('Master Data'!$I$5:$I$204,'Master Data'!$I17),0)</f>
        <v>0.995</v>
      </c>
      <c r="J17" s="7">
        <f>IFERROR(1-_xlfn.PERCENTRANK.INC('Master Data'!$J$5:$J$204,'Master Data'!$J17),0)</f>
        <v>0.412</v>
      </c>
      <c r="K17" s="7">
        <f>IFERROR(1-_xlfn.PERCENTRANK.INC('Master Data'!$K$5:$K$204,'Master Data'!$K17),0)</f>
        <v>0.447</v>
      </c>
      <c r="L17" s="7">
        <f>IFERROR(_xlfn.PERCENTRANK.INC('Master Data'!$L$5:$L$204,'Master Data'!$L17),0)</f>
        <v>0.432</v>
      </c>
      <c r="M17" s="7">
        <f>IFERROR(1-_xlfn.PERCENTRANK.INC('Master Data'!$M$5:$M$204,'Master Data'!$M17),0)</f>
        <v>0.136</v>
      </c>
      <c r="N17" s="7">
        <f>IFERROR(1-_xlfn.PERCENTRANK.INC('Master Data'!$N$5:$N$204,'Master Data'!$N17),0)</f>
        <v>0.91</v>
      </c>
      <c r="O17" s="7">
        <f>IFERROR(1-_xlfn.PERCENTRANK.INC('Master Data'!$O$5:$O$204,'Master Data'!$O17),0)</f>
        <v>0.161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 t="s">
        <v>169</v>
      </c>
      <c r="C18" s="7">
        <f>IFERROR(_xlfn.PERCENTRANK.INC('Master Data'!$C$5:$C$204,'Master Data'!$C18),0)</f>
        <v>0.196</v>
      </c>
      <c r="D18" s="7">
        <f>IFERROR(_xlfn.PERCENTRANK.INC('Master Data'!$D$5:$D$204,'Master Data'!$D18),0)</f>
        <v>0.518</v>
      </c>
      <c r="E18" s="7">
        <f>IFERROR(_xlfn.PERCENTRANK.INC('Master Data'!$E$5:$E$204,'Master Data'!$E18),0)</f>
        <v>0.673</v>
      </c>
      <c r="F18" s="7">
        <f>IFERROR(_xlfn.PERCENTRANK.INC('Master Data'!$F$5:$F$204,'Master Data'!$F18),0)</f>
        <v>0.417</v>
      </c>
      <c r="G18" s="7">
        <f>IFERROR(_xlfn.PERCENTRANK.INC('Master Data'!$G$5:$G$204,'Master Data'!$G18),0)</f>
        <v>0.312</v>
      </c>
      <c r="H18" s="7">
        <f>IFERROR(_xlfn.PERCENTRANK.INC('Master Data'!$H$5:$H$204,'Master Data'!$H18),0)</f>
        <v>0.462</v>
      </c>
      <c r="I18" s="7">
        <f>IFERROR(_xlfn.PERCENTRANK.INC('Master Data'!$I$5:$I$204,'Master Data'!$I18),0)</f>
        <v>0.804</v>
      </c>
      <c r="J18" s="7">
        <f>IFERROR(1-_xlfn.PERCENTRANK.INC('Master Data'!$J$5:$J$204,'Master Data'!$J18),0)</f>
        <v>0.342</v>
      </c>
      <c r="K18" s="7">
        <f>IFERROR(1-_xlfn.PERCENTRANK.INC('Master Data'!$K$5:$K$204,'Master Data'!$K18),0)</f>
        <v>0.347</v>
      </c>
      <c r="L18" s="7">
        <f>IFERROR(_xlfn.PERCENTRANK.INC('Master Data'!$L$5:$L$204,'Master Data'!$L18),0)</f>
        <v>0.322</v>
      </c>
      <c r="M18" s="7">
        <f>IFERROR(1-_xlfn.PERCENTRANK.INC('Master Data'!$M$5:$M$204,'Master Data'!$M18),0)</f>
        <v>0.286</v>
      </c>
      <c r="N18" s="7">
        <f>IFERROR(1-_xlfn.PERCENTRANK.INC('Master Data'!$N$5:$N$204,'Master Data'!$N18),0)</f>
        <v>0.231</v>
      </c>
      <c r="O18" s="7">
        <f>IFERROR(1-_xlfn.PERCENTRANK.INC('Master Data'!$O$5:$O$204,'Master Data'!$O18),0)</f>
        <v>0.251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84</v>
      </c>
      <c r="C19" s="7">
        <f>IFERROR(_xlfn.PERCENTRANK.INC('Master Data'!$C$5:$C$204,'Master Data'!$C19),0)</f>
        <v>0.362</v>
      </c>
      <c r="D19" s="7">
        <f>IFERROR(_xlfn.PERCENTRANK.INC('Master Data'!$D$5:$D$204,'Master Data'!$D19),0)</f>
        <v>0.367</v>
      </c>
      <c r="E19" s="7">
        <f>IFERROR(_xlfn.PERCENTRANK.INC('Master Data'!$E$5:$E$204,'Master Data'!$E19),0)</f>
        <v>0.884</v>
      </c>
      <c r="F19" s="7">
        <f>IFERROR(_xlfn.PERCENTRANK.INC('Master Data'!$F$5:$F$204,'Master Data'!$F19),0)</f>
        <v>0.693</v>
      </c>
      <c r="G19" s="7">
        <f>IFERROR(_xlfn.PERCENTRANK.INC('Master Data'!$G$5:$G$204,'Master Data'!$G19),0)</f>
        <v>0.633</v>
      </c>
      <c r="H19" s="7">
        <f>IFERROR(_xlfn.PERCENTRANK.INC('Master Data'!$H$5:$H$204,'Master Data'!$H19),0)</f>
        <v>0.548</v>
      </c>
      <c r="I19" s="7">
        <f>IFERROR(_xlfn.PERCENTRANK.INC('Master Data'!$I$5:$I$204,'Master Data'!$I19),0)</f>
        <v>0.417</v>
      </c>
      <c r="J19" s="7">
        <f>IFERROR(1-_xlfn.PERCENTRANK.INC('Master Data'!$J$5:$J$204,'Master Data'!$J19),0)</f>
        <v>0.457</v>
      </c>
      <c r="K19" s="7">
        <f>IFERROR(1-_xlfn.PERCENTRANK.INC('Master Data'!$K$5:$K$204,'Master Data'!$K19),0)</f>
        <v>0.412</v>
      </c>
      <c r="L19" s="7">
        <f>IFERROR(_xlfn.PERCENTRANK.INC('Master Data'!$L$5:$L$204,'Master Data'!$L19),0)</f>
        <v>0.533</v>
      </c>
      <c r="M19" s="7">
        <f>IFERROR(1-_xlfn.PERCENTRANK.INC('Master Data'!$M$5:$M$204,'Master Data'!$M19),0)</f>
        <v>0.854</v>
      </c>
      <c r="N19" s="7">
        <f>IFERROR(1-_xlfn.PERCENTRANK.INC('Master Data'!$N$5:$N$204,'Master Data'!$N19),0)</f>
        <v>0.503</v>
      </c>
      <c r="O19" s="7">
        <f>IFERROR(1-_xlfn.PERCENTRANK.INC('Master Data'!$O$5:$O$204,'Master Data'!$O19),0)</f>
        <v>0.543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32</v>
      </c>
      <c r="C20" s="7">
        <f>IFERROR(_xlfn.PERCENTRANK.INC('Master Data'!$C$5:$C$204,'Master Data'!$C20),0)</f>
        <v>0.523</v>
      </c>
      <c r="D20" s="7">
        <f>IFERROR(_xlfn.PERCENTRANK.INC('Master Data'!$D$5:$D$204,'Master Data'!$D20),0)</f>
        <v>0.452</v>
      </c>
      <c r="E20" s="7">
        <f>IFERROR(_xlfn.PERCENTRANK.INC('Master Data'!$E$5:$E$204,'Master Data'!$E20),0)</f>
        <v>0.437</v>
      </c>
      <c r="F20" s="7">
        <f>IFERROR(_xlfn.PERCENTRANK.INC('Master Data'!$F$5:$F$204,'Master Data'!$F20),0)</f>
        <v>0.884</v>
      </c>
      <c r="G20" s="7">
        <f>IFERROR(_xlfn.PERCENTRANK.INC('Master Data'!$G$5:$G$204,'Master Data'!$G20),0)</f>
        <v>0.884</v>
      </c>
      <c r="H20" s="7">
        <f>IFERROR(_xlfn.PERCENTRANK.INC('Master Data'!$H$5:$H$204,'Master Data'!$H20),0)</f>
        <v>0.894</v>
      </c>
      <c r="I20" s="7">
        <f>IFERROR(_xlfn.PERCENTRANK.INC('Master Data'!$I$5:$I$204,'Master Data'!$I20),0)</f>
        <v>0.784</v>
      </c>
      <c r="J20" s="7">
        <f>IFERROR(1-_xlfn.PERCENTRANK.INC('Master Data'!$J$5:$J$204,'Master Data'!$J20),0)</f>
        <v>0.784</v>
      </c>
      <c r="K20" s="7">
        <f>IFERROR(1-_xlfn.PERCENTRANK.INC('Master Data'!$K$5:$K$204,'Master Data'!$K20),0)</f>
        <v>0.759</v>
      </c>
      <c r="L20" s="7">
        <f>IFERROR(_xlfn.PERCENTRANK.INC('Master Data'!$L$5:$L$204,'Master Data'!$L20),0)</f>
        <v>0.739</v>
      </c>
      <c r="M20" s="7">
        <f>IFERROR(1-_xlfn.PERCENTRANK.INC('Master Data'!$M$5:$M$204,'Master Data'!$M20),0)</f>
        <v>0.342</v>
      </c>
      <c r="N20" s="7">
        <f>IFERROR(1-_xlfn.PERCENTRANK.INC('Master Data'!$N$5:$N$204,'Master Data'!$N20),0)</f>
        <v>0.824</v>
      </c>
      <c r="O20" s="7">
        <f>IFERROR(1-_xlfn.PERCENTRANK.INC('Master Data'!$O$5:$O$204,'Master Data'!$O20),0)</f>
        <v>0.216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 t="s">
        <v>41</v>
      </c>
      <c r="C21" s="7">
        <f>IFERROR(_xlfn.PERCENTRANK.INC('Master Data'!$C$5:$C$204,'Master Data'!$C21),0)</f>
        <v>0.804</v>
      </c>
      <c r="D21" s="7">
        <f>IFERROR(_xlfn.PERCENTRANK.INC('Master Data'!$D$5:$D$204,'Master Data'!$D21),0)</f>
        <v>0.854</v>
      </c>
      <c r="E21" s="7">
        <f>IFERROR(_xlfn.PERCENTRANK.INC('Master Data'!$E$5:$E$204,'Master Data'!$E21),0)</f>
        <v>0.859</v>
      </c>
      <c r="F21" s="7">
        <f>IFERROR(_xlfn.PERCENTRANK.INC('Master Data'!$F$5:$F$204,'Master Data'!$F21),0)</f>
        <v>0.729</v>
      </c>
      <c r="G21" s="7">
        <f>IFERROR(_xlfn.PERCENTRANK.INC('Master Data'!$G$5:$G$204,'Master Data'!$G21),0)</f>
        <v>0.603</v>
      </c>
      <c r="H21" s="7">
        <f>IFERROR(_xlfn.PERCENTRANK.INC('Master Data'!$H$5:$H$204,'Master Data'!$H21),0)</f>
        <v>0.779</v>
      </c>
      <c r="I21" s="7">
        <f>IFERROR(_xlfn.PERCENTRANK.INC('Master Data'!$I$5:$I$204,'Master Data'!$I21),0)</f>
        <v>0.824</v>
      </c>
      <c r="J21" s="7">
        <f>IFERROR(1-_xlfn.PERCENTRANK.INC('Master Data'!$J$5:$J$204,'Master Data'!$J21),0)</f>
        <v>0.693</v>
      </c>
      <c r="K21" s="7">
        <f>IFERROR(1-_xlfn.PERCENTRANK.INC('Master Data'!$K$5:$K$204,'Master Data'!$K21),0)</f>
        <v>0.673</v>
      </c>
      <c r="L21" s="7">
        <f>IFERROR(_xlfn.PERCENTRANK.INC('Master Data'!$L$5:$L$204,'Master Data'!$L21),0)</f>
        <v>0.623</v>
      </c>
      <c r="M21" s="7">
        <f>IFERROR(1-_xlfn.PERCENTRANK.INC('Master Data'!$M$5:$M$204,'Master Data'!$M21),0)</f>
        <v>0.387</v>
      </c>
      <c r="N21" s="7">
        <f>IFERROR(1-_xlfn.PERCENTRANK.INC('Master Data'!$N$5:$N$204,'Master Data'!$N21),0)</f>
        <v>0.03</v>
      </c>
      <c r="O21" s="7">
        <f>IFERROR(1-_xlfn.PERCENTRANK.INC('Master Data'!$O$5:$O$204,'Master Data'!$O21),0)</f>
        <v>0.296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 t="s">
        <v>108</v>
      </c>
      <c r="C22" s="7">
        <f>IFERROR(_xlfn.PERCENTRANK.INC('Master Data'!$C$5:$C$204,'Master Data'!$C22),0)</f>
        <v>0.98</v>
      </c>
      <c r="D22" s="7">
        <f>IFERROR(_xlfn.PERCENTRANK.INC('Master Data'!$D$5:$D$204,'Master Data'!$D22),0)</f>
        <v>0.96</v>
      </c>
      <c r="E22" s="7">
        <f>IFERROR(_xlfn.PERCENTRANK.INC('Master Data'!$E$5:$E$204,'Master Data'!$E22),0)</f>
        <v>0.905</v>
      </c>
      <c r="F22" s="7">
        <f>IFERROR(_xlfn.PERCENTRANK.INC('Master Data'!$F$5:$F$204,'Master Data'!$F22),0)</f>
        <v>0.276</v>
      </c>
      <c r="G22" s="7">
        <f>IFERROR(_xlfn.PERCENTRANK.INC('Master Data'!$G$5:$G$204,'Master Data'!$G22),0)</f>
        <v>0.653</v>
      </c>
      <c r="H22" s="7">
        <f>IFERROR(_xlfn.PERCENTRANK.INC('Master Data'!$H$5:$H$204,'Master Data'!$H22),0)</f>
        <v>0.251</v>
      </c>
      <c r="I22" s="7">
        <f>IFERROR(_xlfn.PERCENTRANK.INC('Master Data'!$I$5:$I$204,'Master Data'!$I22),0)</f>
        <v>0.151</v>
      </c>
      <c r="J22" s="7">
        <f>IFERROR(1-_xlfn.PERCENTRANK.INC('Master Data'!$J$5:$J$204,'Master Data'!$J22),0)</f>
        <v>0.08</v>
      </c>
      <c r="K22" s="7">
        <f>IFERROR(1-_xlfn.PERCENTRANK.INC('Master Data'!$K$5:$K$204,'Master Data'!$K22),0)</f>
        <v>0.101</v>
      </c>
      <c r="L22" s="7">
        <f>IFERROR(_xlfn.PERCENTRANK.INC('Master Data'!$L$5:$L$204,'Master Data'!$L22),0)</f>
        <v>0.181</v>
      </c>
      <c r="M22" s="7">
        <f>IFERROR(1-_xlfn.PERCENTRANK.INC('Master Data'!$M$5:$M$204,'Master Data'!$M22),0)</f>
        <v>0.678</v>
      </c>
      <c r="N22" s="7">
        <f>IFERROR(1-_xlfn.PERCENTRANK.INC('Master Data'!$N$5:$N$204,'Master Data'!$N22),0)</f>
        <v>0.477</v>
      </c>
      <c r="O22" s="7">
        <f>IFERROR(1-_xlfn.PERCENTRANK.INC('Master Data'!$O$5:$O$204,'Master Data'!$O22),0)</f>
        <v>0.794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 t="s">
        <v>116</v>
      </c>
      <c r="C23" s="7">
        <f>IFERROR(_xlfn.PERCENTRANK.INC('Master Data'!$C$5:$C$204,'Master Data'!$C23),0)</f>
        <v>0.146</v>
      </c>
      <c r="D23" s="7">
        <f>IFERROR(_xlfn.PERCENTRANK.INC('Master Data'!$D$5:$D$204,'Master Data'!$D23),0)</f>
        <v>0.196</v>
      </c>
      <c r="E23" s="7">
        <f>IFERROR(_xlfn.PERCENTRANK.INC('Master Data'!$E$5:$E$204,'Master Data'!$E23),0)</f>
        <v>0.276</v>
      </c>
      <c r="F23" s="7">
        <f>IFERROR(_xlfn.PERCENTRANK.INC('Master Data'!$F$5:$F$204,'Master Data'!$F23),0)</f>
        <v>0.497</v>
      </c>
      <c r="G23" s="7">
        <f>IFERROR(_xlfn.PERCENTRANK.INC('Master Data'!$G$5:$G$204,'Master Data'!$G23),0)</f>
        <v>0.477</v>
      </c>
      <c r="H23" s="7">
        <f>IFERROR(_xlfn.PERCENTRANK.INC('Master Data'!$H$5:$H$204,'Master Data'!$H23),0)</f>
        <v>0.668</v>
      </c>
      <c r="I23" s="7">
        <f>IFERROR(_xlfn.PERCENTRANK.INC('Master Data'!$I$5:$I$204,'Master Data'!$I23),0)</f>
        <v>0.482</v>
      </c>
      <c r="J23" s="7">
        <f>IFERROR(1-_xlfn.PERCENTRANK.INC('Master Data'!$J$5:$J$204,'Master Data'!$J23),0)</f>
        <v>0.482</v>
      </c>
      <c r="K23" s="7">
        <f>IFERROR(1-_xlfn.PERCENTRANK.INC('Master Data'!$K$5:$K$204,'Master Data'!$K23),0)</f>
        <v>0.462</v>
      </c>
      <c r="L23" s="7">
        <f>IFERROR(_xlfn.PERCENTRANK.INC('Master Data'!$L$5:$L$204,'Master Data'!$L23),0)</f>
        <v>0.688</v>
      </c>
      <c r="M23" s="7">
        <f>IFERROR(1-_xlfn.PERCENTRANK.INC('Master Data'!$M$5:$M$204,'Master Data'!$M23),0)</f>
        <v>0.492</v>
      </c>
      <c r="N23" s="7">
        <f>IFERROR(1-_xlfn.PERCENTRANK.INC('Master Data'!$N$5:$N$204,'Master Data'!$N23),0)</f>
        <v>0.874</v>
      </c>
      <c r="O23" s="7">
        <f>IFERROR(1-_xlfn.PERCENTRANK.INC('Master Data'!$O$5:$O$204,'Master Data'!$O23),0)</f>
        <v>0.714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 t="s">
        <v>44</v>
      </c>
      <c r="C24" s="7">
        <f>IFERROR(_xlfn.PERCENTRANK.INC('Master Data'!$C$5:$C$204,'Master Data'!$C24),0)</f>
        <v>0.925</v>
      </c>
      <c r="D24" s="7">
        <f>IFERROR(_xlfn.PERCENTRANK.INC('Master Data'!$D$5:$D$204,'Master Data'!$D24),0)</f>
        <v>0.905</v>
      </c>
      <c r="E24" s="7">
        <f>IFERROR(_xlfn.PERCENTRANK.INC('Master Data'!$E$5:$E$204,'Master Data'!$E24),0)</f>
        <v>0.894</v>
      </c>
      <c r="F24" s="7">
        <f>IFERROR(_xlfn.PERCENTRANK.INC('Master Data'!$F$5:$F$204,'Master Data'!$F24),0)</f>
        <v>0.633</v>
      </c>
      <c r="G24" s="7">
        <f>IFERROR(_xlfn.PERCENTRANK.INC('Master Data'!$G$5:$G$204,'Master Data'!$G24),0)</f>
        <v>0.503</v>
      </c>
      <c r="H24" s="7">
        <f>IFERROR(_xlfn.PERCENTRANK.INC('Master Data'!$H$5:$H$204,'Master Data'!$H24),0)</f>
        <v>0.799</v>
      </c>
      <c r="I24" s="7">
        <f>IFERROR(_xlfn.PERCENTRANK.INC('Master Data'!$I$5:$I$204,'Master Data'!$I24),0)</f>
        <v>0.99</v>
      </c>
      <c r="J24" s="7">
        <f>IFERROR(1-_xlfn.PERCENTRANK.INC('Master Data'!$J$5:$J$204,'Master Data'!$J24),0)</f>
        <v>0.663</v>
      </c>
      <c r="K24" s="7">
        <f>IFERROR(1-_xlfn.PERCENTRANK.INC('Master Data'!$K$5:$K$204,'Master Data'!$K24),0)</f>
        <v>0.643</v>
      </c>
      <c r="L24" s="7">
        <f>IFERROR(_xlfn.PERCENTRANK.INC('Master Data'!$L$5:$L$204,'Master Data'!$L24),0)</f>
        <v>0.693</v>
      </c>
      <c r="M24" s="7">
        <f>IFERROR(1-_xlfn.PERCENTRANK.INC('Master Data'!$M$5:$M$204,'Master Data'!$M24),0)</f>
        <v>0.196</v>
      </c>
      <c r="N24" s="7">
        <f>IFERROR(1-_xlfn.PERCENTRANK.INC('Master Data'!$N$5:$N$204,'Master Data'!$N24),0)</f>
        <v>0.06</v>
      </c>
      <c r="O24" s="7">
        <f>IFERROR(1-_xlfn.PERCENTRANK.INC('Master Data'!$O$5:$O$204,'Master Data'!$O24),0)</f>
        <v>0.211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 t="s">
        <v>180</v>
      </c>
      <c r="C25" s="7">
        <f>IFERROR(_xlfn.PERCENTRANK.INC('Master Data'!$C$5:$C$204,'Master Data'!$C25),0)</f>
        <v>0.638</v>
      </c>
      <c r="D25" s="7">
        <f>IFERROR(_xlfn.PERCENTRANK.INC('Master Data'!$D$5:$D$204,'Master Data'!$D25),0)</f>
        <v>0.553</v>
      </c>
      <c r="E25" s="7">
        <f>IFERROR(_xlfn.PERCENTRANK.INC('Master Data'!$E$5:$E$204,'Master Data'!$E25),0)</f>
        <v>0.573</v>
      </c>
      <c r="F25" s="7">
        <f>IFERROR(_xlfn.PERCENTRANK.INC('Master Data'!$F$5:$F$204,'Master Data'!$F25),0)</f>
        <v>0.136</v>
      </c>
      <c r="G25" s="7">
        <f>IFERROR(_xlfn.PERCENTRANK.INC('Master Data'!$G$5:$G$204,'Master Data'!$G25),0)</f>
        <v>0.236</v>
      </c>
      <c r="H25" s="7">
        <f>IFERROR(_xlfn.PERCENTRANK.INC('Master Data'!$H$5:$H$204,'Master Data'!$H25),0)</f>
        <v>0.136</v>
      </c>
      <c r="I25" s="7">
        <f>IFERROR(_xlfn.PERCENTRANK.INC('Master Data'!$I$5:$I$204,'Master Data'!$I25),0)</f>
        <v>0.075</v>
      </c>
      <c r="J25" s="7">
        <f>IFERROR(1-_xlfn.PERCENTRANK.INC('Master Data'!$J$5:$J$204,'Master Data'!$J25),0)</f>
        <v>0.05</v>
      </c>
      <c r="K25" s="7">
        <f>IFERROR(1-_xlfn.PERCENTRANK.INC('Master Data'!$K$5:$K$204,'Master Data'!$K25),0)</f>
        <v>0.045</v>
      </c>
      <c r="L25" s="7">
        <f>IFERROR(_xlfn.PERCENTRANK.INC('Master Data'!$L$5:$L$204,'Master Data'!$L25),0)</f>
        <v>0.101</v>
      </c>
      <c r="M25" s="7">
        <f>IFERROR(1-_xlfn.PERCENTRANK.INC('Master Data'!$M$5:$M$204,'Master Data'!$M25),0)</f>
        <v>0.638</v>
      </c>
      <c r="N25" s="7">
        <f>IFERROR(1-_xlfn.PERCENTRANK.INC('Master Data'!$N$5:$N$204,'Master Data'!$N25),0)</f>
        <v>0.276</v>
      </c>
      <c r="O25" s="7">
        <f>IFERROR(1-_xlfn.PERCENTRANK.INC('Master Data'!$O$5:$O$204,'Master Data'!$O25),0)</f>
        <v>0.849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 t="s">
        <v>33</v>
      </c>
      <c r="C26" s="7">
        <f>IFERROR(_xlfn.PERCENTRANK.INC('Master Data'!$C$5:$C$204,'Master Data'!$C26),0)</f>
        <v>0.422</v>
      </c>
      <c r="D26" s="7">
        <f>IFERROR(_xlfn.PERCENTRANK.INC('Master Data'!$D$5:$D$204,'Master Data'!$D26),0)</f>
        <v>0.402</v>
      </c>
      <c r="E26" s="7">
        <f>IFERROR(_xlfn.PERCENTRANK.INC('Master Data'!$E$5:$E$204,'Master Data'!$E26),0)</f>
        <v>0.402</v>
      </c>
      <c r="F26" s="7">
        <f>IFERROR(_xlfn.PERCENTRANK.INC('Master Data'!$F$5:$F$204,'Master Data'!$F26),0)</f>
        <v>0.859</v>
      </c>
      <c r="G26" s="7">
        <f>IFERROR(_xlfn.PERCENTRANK.INC('Master Data'!$G$5:$G$204,'Master Data'!$G26),0)</f>
        <v>0.854</v>
      </c>
      <c r="H26" s="7">
        <f>IFERROR(_xlfn.PERCENTRANK.INC('Master Data'!$H$5:$H$204,'Master Data'!$H26),0)</f>
        <v>0.915</v>
      </c>
      <c r="I26" s="7">
        <f>IFERROR(_xlfn.PERCENTRANK.INC('Master Data'!$I$5:$I$204,'Master Data'!$I26),0)</f>
        <v>0.759</v>
      </c>
      <c r="J26" s="7">
        <f>IFERROR(1-_xlfn.PERCENTRANK.INC('Master Data'!$J$5:$J$204,'Master Data'!$J26),0)</f>
        <v>0.874</v>
      </c>
      <c r="K26" s="7">
        <f>IFERROR(1-_xlfn.PERCENTRANK.INC('Master Data'!$K$5:$K$204,'Master Data'!$K26),0)</f>
        <v>0.844</v>
      </c>
      <c r="L26" s="7">
        <f>IFERROR(_xlfn.PERCENTRANK.INC('Master Data'!$L$5:$L$204,'Master Data'!$L26),0)</f>
        <v>0.985</v>
      </c>
      <c r="M26" s="7">
        <f>IFERROR(1-_xlfn.PERCENTRANK.INC('Master Data'!$M$5:$M$204,'Master Data'!$M26),0)</f>
        <v>0.588</v>
      </c>
      <c r="N26" s="7">
        <f>IFERROR(1-_xlfn.PERCENTRANK.INC('Master Data'!$N$5:$N$204,'Master Data'!$N26),0)</f>
        <v>0.191</v>
      </c>
      <c r="O26" s="7">
        <f>IFERROR(1-_xlfn.PERCENTRANK.INC('Master Data'!$O$5:$O$204,'Master Data'!$O26),0)</f>
        <v>0.407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 t="s">
        <v>109</v>
      </c>
      <c r="C27" s="7">
        <f>IFERROR(_xlfn.PERCENTRANK.INC('Master Data'!$C$5:$C$204,'Master Data'!$C27),0)</f>
        <v>0.95</v>
      </c>
      <c r="D27" s="7">
        <f>IFERROR(_xlfn.PERCENTRANK.INC('Master Data'!$D$5:$D$204,'Master Data'!$D27),0)</f>
        <v>0.93</v>
      </c>
      <c r="E27" s="7">
        <f>IFERROR(_xlfn.PERCENTRANK.INC('Master Data'!$E$5:$E$204,'Master Data'!$E27),0)</f>
        <v>0.94</v>
      </c>
      <c r="F27" s="7">
        <f>IFERROR(_xlfn.PERCENTRANK.INC('Master Data'!$F$5:$F$204,'Master Data'!$F27),0)</f>
        <v>0.372</v>
      </c>
      <c r="G27" s="7">
        <f>IFERROR(_xlfn.PERCENTRANK.INC('Master Data'!$G$5:$G$204,'Master Data'!$G27),0)</f>
        <v>0.648</v>
      </c>
      <c r="H27" s="7">
        <f>IFERROR(_xlfn.PERCENTRANK.INC('Master Data'!$H$5:$H$204,'Master Data'!$H27),0)</f>
        <v>0.352</v>
      </c>
      <c r="I27" s="7">
        <f>IFERROR(_xlfn.PERCENTRANK.INC('Master Data'!$I$5:$I$204,'Master Data'!$I27),0)</f>
        <v>0.206</v>
      </c>
      <c r="J27" s="7">
        <f>IFERROR(1-_xlfn.PERCENTRANK.INC('Master Data'!$J$5:$J$204,'Master Data'!$J27),0)</f>
        <v>0.141</v>
      </c>
      <c r="K27" s="7">
        <f>IFERROR(1-_xlfn.PERCENTRANK.INC('Master Data'!$K$5:$K$204,'Master Data'!$K27),0)</f>
        <v>0.211</v>
      </c>
      <c r="L27" s="7">
        <f>IFERROR(_xlfn.PERCENTRANK.INC('Master Data'!$L$5:$L$204,'Master Data'!$L27),0)</f>
        <v>0.211</v>
      </c>
      <c r="M27" s="7">
        <f>IFERROR(1-_xlfn.PERCENTRANK.INC('Master Data'!$M$5:$M$204,'Master Data'!$M27),0)</f>
        <v>0.663</v>
      </c>
      <c r="N27" s="7">
        <f>IFERROR(1-_xlfn.PERCENTRANK.INC('Master Data'!$N$5:$N$204,'Master Data'!$N27),0)</f>
        <v>0.422</v>
      </c>
      <c r="O27" s="7">
        <f>IFERROR(1-_xlfn.PERCENTRANK.INC('Master Data'!$O$5:$O$204,'Master Data'!$O27),0)</f>
        <v>0.437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 t="s">
        <v>101</v>
      </c>
      <c r="C28" s="7">
        <f>IFERROR(_xlfn.PERCENTRANK.INC('Master Data'!$C$5:$C$204,'Master Data'!$C28),0)</f>
        <v>0.96</v>
      </c>
      <c r="D28" s="7">
        <f>IFERROR(_xlfn.PERCENTRANK.INC('Master Data'!$D$5:$D$204,'Master Data'!$D28),0)</f>
        <v>0.955</v>
      </c>
      <c r="E28" s="7">
        <f>IFERROR(_xlfn.PERCENTRANK.INC('Master Data'!$E$5:$E$204,'Master Data'!$E28),0)</f>
        <v>0.899</v>
      </c>
      <c r="F28" s="7">
        <f>IFERROR(_xlfn.PERCENTRANK.INC('Master Data'!$F$5:$F$204,'Master Data'!$F28),0)</f>
        <v>0.487</v>
      </c>
      <c r="G28" s="7">
        <f>IFERROR(_xlfn.PERCENTRANK.INC('Master Data'!$G$5:$G$204,'Master Data'!$G28),0)</f>
        <v>0.367</v>
      </c>
      <c r="H28" s="7">
        <f>IFERROR(_xlfn.PERCENTRANK.INC('Master Data'!$H$5:$H$204,'Master Data'!$H28),0)</f>
        <v>0.759</v>
      </c>
      <c r="I28" s="7">
        <f>IFERROR(_xlfn.PERCENTRANK.INC('Master Data'!$I$5:$I$204,'Master Data'!$I28),0)</f>
        <v>0.236</v>
      </c>
      <c r="J28" s="7">
        <f>IFERROR(1-_xlfn.PERCENTRANK.INC('Master Data'!$J$5:$J$204,'Master Data'!$J28),0)</f>
        <v>0.99</v>
      </c>
      <c r="K28" s="7">
        <f>IFERROR(1-_xlfn.PERCENTRANK.INC('Master Data'!$K$5:$K$204,'Master Data'!$K28),0)</f>
        <v>0.925</v>
      </c>
      <c r="L28" s="7">
        <f>IFERROR(_xlfn.PERCENTRANK.INC('Master Data'!$L$5:$L$204,'Master Data'!$L28),0)</f>
        <v>0.025</v>
      </c>
      <c r="M28" s="7">
        <f>IFERROR(1-_xlfn.PERCENTRANK.INC('Master Data'!$M$5:$M$204,'Master Data'!$M28),0)</f>
        <v>0.055</v>
      </c>
      <c r="N28" s="7">
        <f>IFERROR(1-_xlfn.PERCENTRANK.INC('Master Data'!$N$5:$N$204,'Master Data'!$N28),0)</f>
        <v>0.085</v>
      </c>
      <c r="O28" s="7">
        <f>IFERROR(1-_xlfn.PERCENTRANK.INC('Master Data'!$O$5:$O$204,'Master Data'!$O28),0)</f>
        <v>0.01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128</v>
      </c>
      <c r="C29" s="7">
        <f>IFERROR(_xlfn.PERCENTRANK.INC('Master Data'!$C$5:$C$204,'Master Data'!$C29),0)</f>
        <v>0.141</v>
      </c>
      <c r="D29" s="7">
        <f>IFERROR(_xlfn.PERCENTRANK.INC('Master Data'!$D$5:$D$204,'Master Data'!$D29),0)</f>
        <v>0.201</v>
      </c>
      <c r="E29" s="7">
        <f>IFERROR(_xlfn.PERCENTRANK.INC('Master Data'!$E$5:$E$204,'Master Data'!$E29),0)</f>
        <v>0.251</v>
      </c>
      <c r="F29" s="7">
        <f>IFERROR(_xlfn.PERCENTRANK.INC('Master Data'!$F$5:$F$204,'Master Data'!$F29),0)</f>
        <v>0.347</v>
      </c>
      <c r="G29" s="7">
        <f>IFERROR(_xlfn.PERCENTRANK.INC('Master Data'!$G$5:$G$204,'Master Data'!$G29),0)</f>
        <v>0.291</v>
      </c>
      <c r="H29" s="7">
        <f>IFERROR(_xlfn.PERCENTRANK.INC('Master Data'!$H$5:$H$204,'Master Data'!$H29),0)</f>
        <v>0.673</v>
      </c>
      <c r="I29" s="7">
        <f>IFERROR(_xlfn.PERCENTRANK.INC('Master Data'!$I$5:$I$204,'Master Data'!$I29),0)</f>
        <v>0.005</v>
      </c>
      <c r="J29" s="7">
        <f>IFERROR(1-_xlfn.PERCENTRANK.INC('Master Data'!$J$5:$J$204,'Master Data'!$J29),0)</f>
        <v>0.899</v>
      </c>
      <c r="K29" s="7">
        <f>IFERROR(1-_xlfn.PERCENTRANK.INC('Master Data'!$K$5:$K$204,'Master Data'!$K29),0)</f>
        <v>0.779</v>
      </c>
      <c r="L29" s="7">
        <f>IFERROR(_xlfn.PERCENTRANK.INC('Master Data'!$L$5:$L$204,'Master Data'!$L29),0)</f>
        <v>0.955</v>
      </c>
      <c r="M29" s="7">
        <f>IFERROR(1-_xlfn.PERCENTRANK.INC('Master Data'!$M$5:$M$204,'Master Data'!$M29),0)</f>
        <v>0.095</v>
      </c>
      <c r="N29" s="7">
        <f>IFERROR(1-_xlfn.PERCENTRANK.INC('Master Data'!$N$5:$N$204,'Master Data'!$N29),0)</f>
        <v>0.829</v>
      </c>
      <c r="O29" s="7">
        <f>IFERROR(1-_xlfn.PERCENTRANK.INC('Master Data'!$O$5:$O$204,'Master Data'!$O29),0)</f>
        <v>0.397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 t="s">
        <v>205</v>
      </c>
      <c r="C30" s="7">
        <f>IFERROR(_xlfn.PERCENTRANK.INC('Master Data'!$C$5:$C$204,'Master Data'!$C30),0)</f>
        <v>0.03</v>
      </c>
      <c r="D30" s="7">
        <f>IFERROR(_xlfn.PERCENTRANK.INC('Master Data'!$D$5:$D$204,'Master Data'!$D30),0)</f>
        <v>0.05</v>
      </c>
      <c r="E30" s="7">
        <f>IFERROR(_xlfn.PERCENTRANK.INC('Master Data'!$E$5:$E$204,'Master Data'!$E30),0)</f>
        <v>0.04</v>
      </c>
      <c r="F30" s="7">
        <f>IFERROR(_xlfn.PERCENTRANK.INC('Master Data'!$F$5:$F$204,'Master Data'!$F30),0)</f>
        <v>0.216</v>
      </c>
      <c r="G30" s="7">
        <f>IFERROR(_xlfn.PERCENTRANK.INC('Master Data'!$G$5:$G$204,'Master Data'!$G30),0)</f>
        <v>0.332</v>
      </c>
      <c r="H30" s="7">
        <f>IFERROR(_xlfn.PERCENTRANK.INC('Master Data'!$H$5:$H$204,'Master Data'!$H30),0)</f>
        <v>0.191</v>
      </c>
      <c r="I30" s="7">
        <f>IFERROR(_xlfn.PERCENTRANK.INC('Master Data'!$I$5:$I$204,'Master Data'!$I30),0)</f>
        <v>0.116</v>
      </c>
      <c r="J30" s="7">
        <f>IFERROR(1-_xlfn.PERCENTRANK.INC('Master Data'!$J$5:$J$204,'Master Data'!$J30),0)</f>
        <v>0.116</v>
      </c>
      <c r="K30" s="7">
        <f>IFERROR(1-_xlfn.PERCENTRANK.INC('Master Data'!$K$5:$K$204,'Master Data'!$K30),0)</f>
        <v>0.121</v>
      </c>
      <c r="L30" s="7">
        <f>IFERROR(_xlfn.PERCENTRANK.INC('Master Data'!$L$5:$L$204,'Master Data'!$L30),0)</f>
        <v>0.131</v>
      </c>
      <c r="M30" s="7">
        <f>IFERROR(1-_xlfn.PERCENTRANK.INC('Master Data'!$M$5:$M$204,'Master Data'!$M30),0)</f>
        <v>0.618</v>
      </c>
      <c r="N30" s="7">
        <f>IFERROR(1-_xlfn.PERCENTRANK.INC('Master Data'!$N$5:$N$204,'Master Data'!$N30),0)</f>
        <v>0.01</v>
      </c>
      <c r="O30" s="7">
        <f>IFERROR(1-_xlfn.PERCENTRANK.INC('Master Data'!$O$5:$O$204,'Master Data'!$O30),0)</f>
        <v>0.558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181</v>
      </c>
      <c r="C31" s="7">
        <f>IFERROR(_xlfn.PERCENTRANK.INC('Master Data'!$C$5:$C$204,'Master Data'!$C31),0)</f>
        <v>0.603</v>
      </c>
      <c r="D31" s="7">
        <f>IFERROR(_xlfn.PERCENTRANK.INC('Master Data'!$D$5:$D$204,'Master Data'!$D31),0)</f>
        <v>0.764</v>
      </c>
      <c r="E31" s="7">
        <f>IFERROR(_xlfn.PERCENTRANK.INC('Master Data'!$E$5:$E$204,'Master Data'!$E31),0)</f>
        <v>0.04</v>
      </c>
      <c r="F31" s="7">
        <f>IFERROR(_xlfn.PERCENTRANK.INC('Master Data'!$F$5:$F$204,'Master Data'!$F31),0)</f>
        <v>0.09</v>
      </c>
      <c r="G31" s="7">
        <f>IFERROR(_xlfn.PERCENTRANK.INC('Master Data'!$G$5:$G$204,'Master Data'!$G31),0)</f>
        <v>0.186</v>
      </c>
      <c r="H31" s="7">
        <f>IFERROR(_xlfn.PERCENTRANK.INC('Master Data'!$H$5:$H$204,'Master Data'!$H31),0)</f>
        <v>0.09</v>
      </c>
      <c r="I31" s="7">
        <f>IFERROR(_xlfn.PERCENTRANK.INC('Master Data'!$I$5:$I$204,'Master Data'!$I31),0)</f>
        <v>0.025</v>
      </c>
      <c r="J31" s="7">
        <f>IFERROR(1-_xlfn.PERCENTRANK.INC('Master Data'!$J$5:$J$204,'Master Data'!$J31),0)</f>
        <v>0.025</v>
      </c>
      <c r="K31" s="7">
        <f>IFERROR(1-_xlfn.PERCENTRANK.INC('Master Data'!$K$5:$K$204,'Master Data'!$K31),0)</f>
        <v>0.035</v>
      </c>
      <c r="L31" s="7">
        <f>IFERROR(_xlfn.PERCENTRANK.INC('Master Data'!$L$5:$L$204,'Master Data'!$L31),0)</f>
        <v>0.075</v>
      </c>
      <c r="M31" s="7">
        <f>IFERROR(1-_xlfn.PERCENTRANK.INC('Master Data'!$M$5:$M$204,'Master Data'!$M31),0)</f>
        <v>0.709</v>
      </c>
      <c r="N31" s="7">
        <f>IFERROR(1-_xlfn.PERCENTRANK.INC('Master Data'!$N$5:$N$204,'Master Data'!$N31),0)</f>
        <v>0.533</v>
      </c>
      <c r="O31" s="7">
        <f>IFERROR(1-_xlfn.PERCENTRANK.INC('Master Data'!$O$5:$O$204,'Master Data'!$O31),0)</f>
        <v>0.96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193</v>
      </c>
      <c r="C32" s="7">
        <f>IFERROR(_xlfn.PERCENTRANK.INC('Master Data'!$C$5:$C$204,'Master Data'!$C32),0)</f>
        <v>0.251</v>
      </c>
      <c r="D32" s="7">
        <f>IFERROR(_xlfn.PERCENTRANK.INC('Master Data'!$D$5:$D$204,'Master Data'!$D32),0)</f>
        <v>0.497</v>
      </c>
      <c r="E32" s="7">
        <f>IFERROR(_xlfn.PERCENTRANK.INC('Master Data'!$E$5:$E$204,'Master Data'!$E32),0)</f>
        <v>0.04</v>
      </c>
      <c r="F32" s="7">
        <f>IFERROR(_xlfn.PERCENTRANK.INC('Master Data'!$F$5:$F$204,'Master Data'!$F32),0)</f>
        <v>0.065</v>
      </c>
      <c r="G32" s="7">
        <f>IFERROR(_xlfn.PERCENTRANK.INC('Master Data'!$G$5:$G$204,'Master Data'!$G32),0)</f>
        <v>0.055</v>
      </c>
      <c r="H32" s="7">
        <f>IFERROR(_xlfn.PERCENTRANK.INC('Master Data'!$H$5:$H$204,'Master Data'!$H32),0)</f>
        <v>0.065</v>
      </c>
      <c r="I32" s="7">
        <f>IFERROR(_xlfn.PERCENTRANK.INC('Master Data'!$I$5:$I$204,'Master Data'!$I32),0)</f>
        <v>0.025</v>
      </c>
      <c r="J32" s="7">
        <f>IFERROR(1-_xlfn.PERCENTRANK.INC('Master Data'!$J$5:$J$204,'Master Data'!$J32),0)</f>
        <v>0.03</v>
      </c>
      <c r="K32" s="7">
        <f>IFERROR(1-_xlfn.PERCENTRANK.INC('Master Data'!$K$5:$K$204,'Master Data'!$K32),0)</f>
        <v>0.02</v>
      </c>
      <c r="L32" s="7">
        <f>IFERROR(_xlfn.PERCENTRANK.INC('Master Data'!$L$5:$L$204,'Master Data'!$L32),0)</f>
        <v>0.055</v>
      </c>
      <c r="M32" s="7">
        <f>IFERROR(1-_xlfn.PERCENTRANK.INC('Master Data'!$M$5:$M$204,'Master Data'!$M32),0)</f>
        <v>0.714</v>
      </c>
      <c r="N32" s="7">
        <f>IFERROR(1-_xlfn.PERCENTRANK.INC('Master Data'!$N$5:$N$204,'Master Data'!$N32),0)</f>
        <v>0.688</v>
      </c>
      <c r="O32" s="7">
        <f>IFERROR(1-_xlfn.PERCENTRANK.INC('Master Data'!$O$5:$O$204,'Master Data'!$O32),0)</f>
        <v>0.99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 t="s">
        <v>126</v>
      </c>
      <c r="C33" s="7">
        <f>IFERROR(_xlfn.PERCENTRANK.INC('Master Data'!$C$5:$C$204,'Master Data'!$C33),0)</f>
        <v>0.01</v>
      </c>
      <c r="D33" s="7">
        <f>IFERROR(_xlfn.PERCENTRANK.INC('Master Data'!$D$5:$D$204,'Master Data'!$D33),0)</f>
        <v>0.045</v>
      </c>
      <c r="E33" s="7">
        <f>IFERROR(_xlfn.PERCENTRANK.INC('Master Data'!$E$5:$E$204,'Master Data'!$E33),0)</f>
        <v>0.035</v>
      </c>
      <c r="F33" s="7">
        <f>IFERROR(_xlfn.PERCENTRANK.INC('Master Data'!$F$5:$F$204,'Master Data'!$F33),0)</f>
        <v>0.814</v>
      </c>
      <c r="G33" s="7">
        <f>IFERROR(_xlfn.PERCENTRANK.INC('Master Data'!$G$5:$G$204,'Master Data'!$G33),0)</f>
        <v>0.693</v>
      </c>
      <c r="H33" s="7">
        <f>IFERROR(_xlfn.PERCENTRANK.INC('Master Data'!$H$5:$H$204,'Master Data'!$H33),0)</f>
        <v>0.508</v>
      </c>
      <c r="I33" s="7">
        <f>IFERROR(_xlfn.PERCENTRANK.INC('Master Data'!$I$5:$I$204,'Master Data'!$I33),0)</f>
        <v>0.291</v>
      </c>
      <c r="J33" s="7">
        <f>IFERROR(1-_xlfn.PERCENTRANK.INC('Master Data'!$J$5:$J$204,'Master Data'!$J33),0)</f>
        <v>0.95</v>
      </c>
      <c r="K33" s="7">
        <f>IFERROR(1-_xlfn.PERCENTRANK.INC('Master Data'!$K$5:$K$204,'Master Data'!$K33),0)</f>
        <v>0.884</v>
      </c>
      <c r="L33" s="7">
        <f>IFERROR(_xlfn.PERCENTRANK.INC('Master Data'!$L$5:$L$204,'Master Data'!$L33),0)</f>
        <v>0.839</v>
      </c>
      <c r="M33" s="7">
        <f>IFERROR(1-_xlfn.PERCENTRANK.INC('Master Data'!$M$5:$M$204,'Master Data'!$M33),0)</f>
        <v>0.106</v>
      </c>
      <c r="N33" s="7">
        <f>IFERROR(1-_xlfn.PERCENTRANK.INC('Master Data'!$N$5:$N$204,'Master Data'!$N33),0)</f>
        <v>0.915</v>
      </c>
      <c r="O33" s="7">
        <f>IFERROR(1-_xlfn.PERCENTRANK.INC('Master Data'!$O$5:$O$204,'Master Data'!$O33),0)</f>
        <v>0.221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 t="s">
        <v>19</v>
      </c>
      <c r="C34" s="7">
        <f>IFERROR(_xlfn.PERCENTRANK.INC('Master Data'!$C$5:$C$204,'Master Data'!$C34),0)</f>
        <v>0.678</v>
      </c>
      <c r="D34" s="7">
        <f>IFERROR(_xlfn.PERCENTRANK.INC('Master Data'!$D$5:$D$204,'Master Data'!$D34),0)</f>
        <v>0.809</v>
      </c>
      <c r="E34" s="7">
        <f>IFERROR(_xlfn.PERCENTRANK.INC('Master Data'!$E$5:$E$204,'Master Data'!$E34),0)</f>
        <v>0.688</v>
      </c>
      <c r="F34" s="7">
        <f>IFERROR(_xlfn.PERCENTRANK.INC('Master Data'!$F$5:$F$204,'Master Data'!$F34),0)</f>
        <v>0.839</v>
      </c>
      <c r="G34" s="7">
        <f>IFERROR(_xlfn.PERCENTRANK.INC('Master Data'!$G$5:$G$204,'Master Data'!$G34),0)</f>
        <v>0.804</v>
      </c>
      <c r="H34" s="7">
        <f>IFERROR(_xlfn.PERCENTRANK.INC('Master Data'!$H$5:$H$204,'Master Data'!$H34),0)</f>
        <v>0.653</v>
      </c>
      <c r="I34" s="7">
        <f>IFERROR(_xlfn.PERCENTRANK.INC('Master Data'!$I$5:$I$204,'Master Data'!$I34),0)</f>
        <v>0.432</v>
      </c>
      <c r="J34" s="7">
        <f>IFERROR(1-_xlfn.PERCENTRANK.INC('Master Data'!$J$5:$J$204,'Master Data'!$J34),0)</f>
        <v>0.94</v>
      </c>
      <c r="K34" s="7">
        <f>IFERROR(1-_xlfn.PERCENTRANK.INC('Master Data'!$K$5:$K$204,'Master Data'!$K34),0)</f>
        <v>0.889</v>
      </c>
      <c r="L34" s="7">
        <f>IFERROR(_xlfn.PERCENTRANK.INC('Master Data'!$L$5:$L$204,'Master Data'!$L34),0)</f>
        <v>0.91</v>
      </c>
      <c r="M34" s="7">
        <f>IFERROR(1-_xlfn.PERCENTRANK.INC('Master Data'!$M$5:$M$204,'Master Data'!$M34),0)</f>
        <v>0.447</v>
      </c>
      <c r="N34" s="7">
        <f>IFERROR(1-_xlfn.PERCENTRANK.INC('Master Data'!$N$5:$N$204,'Master Data'!$N34),0)</f>
        <v>0.397</v>
      </c>
      <c r="O34" s="7">
        <f>IFERROR(1-_xlfn.PERCENTRANK.INC('Master Data'!$O$5:$O$204,'Master Data'!$O34),0)</f>
        <v>0.241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6" t="s">
        <v>118</v>
      </c>
      <c r="C35" s="7">
        <f>IFERROR(_xlfn.PERCENTRANK.INC('Master Data'!$C$5:$C$204,'Master Data'!$C35),0)</f>
        <v>0.357</v>
      </c>
      <c r="D35" s="7">
        <f>IFERROR(_xlfn.PERCENTRANK.INC('Master Data'!$D$5:$D$204,'Master Data'!$D35),0)</f>
        <v>0.332</v>
      </c>
      <c r="E35" s="7">
        <f>IFERROR(_xlfn.PERCENTRANK.INC('Master Data'!$E$5:$E$204,'Master Data'!$E35),0)</f>
        <v>0.382</v>
      </c>
      <c r="F35" s="7">
        <f>IFERROR(_xlfn.PERCENTRANK.INC('Master Data'!$F$5:$F$204,'Master Data'!$F35),0)</f>
        <v>0.462</v>
      </c>
      <c r="G35" s="7">
        <f>IFERROR(_xlfn.PERCENTRANK.INC('Master Data'!$G$5:$G$204,'Master Data'!$G35),0)</f>
        <v>0.487</v>
      </c>
      <c r="H35" s="7">
        <f>IFERROR(_xlfn.PERCENTRANK.INC('Master Data'!$H$5:$H$204,'Master Data'!$H35),0)</f>
        <v>0.583</v>
      </c>
      <c r="I35" s="7">
        <f>IFERROR(_xlfn.PERCENTRANK.INC('Master Data'!$I$5:$I$204,'Master Data'!$I35),0)</f>
        <v>0.573</v>
      </c>
      <c r="J35" s="7">
        <f>IFERROR(1-_xlfn.PERCENTRANK.INC('Master Data'!$J$5:$J$204,'Master Data'!$J35),0)</f>
        <v>0.352</v>
      </c>
      <c r="K35" s="7">
        <f>IFERROR(1-_xlfn.PERCENTRANK.INC('Master Data'!$K$5:$K$204,'Master Data'!$K35),0)</f>
        <v>0.367</v>
      </c>
      <c r="L35" s="7">
        <f>IFERROR(_xlfn.PERCENTRANK.INC('Master Data'!$L$5:$L$204,'Master Data'!$L35),0)</f>
        <v>0.482</v>
      </c>
      <c r="M35" s="7">
        <f>IFERROR(1-_xlfn.PERCENTRANK.INC('Master Data'!$M$5:$M$204,'Master Data'!$M35),0)</f>
        <v>0.563</v>
      </c>
      <c r="N35" s="7">
        <f>IFERROR(1-_xlfn.PERCENTRANK.INC('Master Data'!$N$5:$N$204,'Master Data'!$N35),0)</f>
        <v>0.899</v>
      </c>
      <c r="O35" s="7">
        <f>IFERROR(1-_xlfn.PERCENTRANK.INC('Master Data'!$O$5:$O$204,'Master Data'!$O35),0)</f>
        <v>0.563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190</v>
      </c>
      <c r="C36" s="7">
        <f>IFERROR(_xlfn.PERCENTRANK.INC('Master Data'!$C$5:$C$204,'Master Data'!$C36),0)</f>
        <v>0.136</v>
      </c>
      <c r="D36" s="7">
        <f>IFERROR(_xlfn.PERCENTRANK.INC('Master Data'!$D$5:$D$204,'Master Data'!$D36),0)</f>
        <v>0.05</v>
      </c>
      <c r="E36" s="7">
        <f>IFERROR(_xlfn.PERCENTRANK.INC('Master Data'!$E$5:$E$204,'Master Data'!$E36),0)</f>
        <v>0.04</v>
      </c>
      <c r="F36" s="7">
        <f>IFERROR(_xlfn.PERCENTRANK.INC('Master Data'!$F$5:$F$204,'Master Data'!$F36),0)</f>
        <v>0.045</v>
      </c>
      <c r="G36" s="7">
        <f>IFERROR(_xlfn.PERCENTRANK.INC('Master Data'!$G$5:$G$204,'Master Data'!$G36),0)</f>
        <v>0.06</v>
      </c>
      <c r="H36" s="7">
        <f>IFERROR(_xlfn.PERCENTRANK.INC('Master Data'!$H$5:$H$204,'Master Data'!$H36),0)</f>
        <v>0.06</v>
      </c>
      <c r="I36" s="7">
        <f>IFERROR(_xlfn.PERCENTRANK.INC('Master Data'!$I$5:$I$204,'Master Data'!$I36),0)</f>
        <v>0.357</v>
      </c>
      <c r="J36" s="7">
        <f>IFERROR(1-_xlfn.PERCENTRANK.INC('Master Data'!$J$5:$J$204,'Master Data'!$J36),0)</f>
        <v>0.533</v>
      </c>
      <c r="K36" s="7">
        <f>IFERROR(1-_xlfn.PERCENTRANK.INC('Master Data'!$K$5:$K$204,'Master Data'!$K36),0)</f>
        <v>0.96</v>
      </c>
      <c r="L36" s="7">
        <f>IFERROR(_xlfn.PERCENTRANK.INC('Master Data'!$L$5:$L$204,'Master Data'!$L36),0)</f>
        <v>0.191</v>
      </c>
      <c r="M36" s="7">
        <f>IFERROR(1-_xlfn.PERCENTRANK.INC('Master Data'!$M$5:$M$204,'Master Data'!$M36),0)</f>
        <v>0.236</v>
      </c>
      <c r="N36" s="7">
        <f>IFERROR(1-_xlfn.PERCENTRANK.INC('Master Data'!$N$5:$N$204,'Master Data'!$N36),0)</f>
        <v>0.342</v>
      </c>
      <c r="O36" s="7">
        <f>IFERROR(1-_xlfn.PERCENTRANK.INC('Master Data'!$O$5:$O$204,'Master Data'!$O36),0)</f>
        <v>0.754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47</v>
      </c>
      <c r="C37" s="7">
        <f>IFERROR(_xlfn.PERCENTRANK.INC('Master Data'!$C$5:$C$204,'Master Data'!$C37),0)</f>
        <v>0.467</v>
      </c>
      <c r="D37" s="7">
        <f>IFERROR(_xlfn.PERCENTRANK.INC('Master Data'!$D$5:$D$204,'Master Data'!$D37),0)</f>
        <v>0.442</v>
      </c>
      <c r="E37" s="7">
        <f>IFERROR(_xlfn.PERCENTRANK.INC('Master Data'!$E$5:$E$204,'Master Data'!$E37),0)</f>
        <v>0.377</v>
      </c>
      <c r="F37" s="7">
        <f>IFERROR(_xlfn.PERCENTRANK.INC('Master Data'!$F$5:$F$204,'Master Data'!$F37),0)</f>
        <v>0.653</v>
      </c>
      <c r="G37" s="7">
        <f>IFERROR(_xlfn.PERCENTRANK.INC('Master Data'!$G$5:$G$204,'Master Data'!$G37),0)</f>
        <v>0.799</v>
      </c>
      <c r="H37" s="7">
        <f>IFERROR(_xlfn.PERCENTRANK.INC('Master Data'!$H$5:$H$204,'Master Data'!$H37),0)</f>
        <v>0.598</v>
      </c>
      <c r="I37" s="7">
        <f>IFERROR(_xlfn.PERCENTRANK.INC('Master Data'!$I$5:$I$204,'Master Data'!$I37),0)</f>
        <v>0.965</v>
      </c>
      <c r="J37" s="7">
        <f>IFERROR(1-_xlfn.PERCENTRANK.INC('Master Data'!$J$5:$J$204,'Master Data'!$J37),0)</f>
        <v>0.296</v>
      </c>
      <c r="K37" s="7">
        <f>IFERROR(1-_xlfn.PERCENTRANK.INC('Master Data'!$K$5:$K$204,'Master Data'!$K37),0)</f>
        <v>0.342</v>
      </c>
      <c r="L37" s="7">
        <f>IFERROR(_xlfn.PERCENTRANK.INC('Master Data'!$L$5:$L$204,'Master Data'!$L37),0)</f>
        <v>0.503</v>
      </c>
      <c r="M37" s="7">
        <f>IFERROR(1-_xlfn.PERCENTRANK.INC('Master Data'!$M$5:$M$204,'Master Data'!$M37),0)</f>
        <v>0.95</v>
      </c>
      <c r="N37" s="7">
        <f>IFERROR(1-_xlfn.PERCENTRANK.INC('Master Data'!$N$5:$N$204,'Master Data'!$N37),0)</f>
        <v>0.744</v>
      </c>
      <c r="O37" s="7">
        <f>IFERROR(1-_xlfn.PERCENTRANK.INC('Master Data'!$O$5:$O$204,'Master Data'!$O37),0)</f>
        <v>0.905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" t="s">
        <v>186</v>
      </c>
      <c r="C38" s="7">
        <f>IFERROR(_xlfn.PERCENTRANK.INC('Master Data'!$C$5:$C$204,'Master Data'!$C38),0)</f>
        <v>0.286</v>
      </c>
      <c r="D38" s="7">
        <f>IFERROR(_xlfn.PERCENTRANK.INC('Master Data'!$D$5:$D$204,'Master Data'!$D38),0)</f>
        <v>0.462</v>
      </c>
      <c r="E38" s="7">
        <f>IFERROR(_xlfn.PERCENTRANK.INC('Master Data'!$E$5:$E$204,'Master Data'!$E38),0)</f>
        <v>0.558</v>
      </c>
      <c r="F38" s="7">
        <f>IFERROR(_xlfn.PERCENTRANK.INC('Master Data'!$F$5:$F$204,'Master Data'!$F38),0)</f>
        <v>0.035</v>
      </c>
      <c r="G38" s="7">
        <f>IFERROR(_xlfn.PERCENTRANK.INC('Master Data'!$G$5:$G$204,'Master Data'!$G38),0)</f>
        <v>0.03</v>
      </c>
      <c r="H38" s="7">
        <f>IFERROR(_xlfn.PERCENTRANK.INC('Master Data'!$H$5:$H$204,'Master Data'!$H38),0)</f>
        <v>0.035</v>
      </c>
      <c r="I38" s="7">
        <f>IFERROR(_xlfn.PERCENTRANK.INC('Master Data'!$I$5:$I$204,'Master Data'!$I38),0)</f>
        <v>0.342</v>
      </c>
      <c r="J38" s="7">
        <f>IFERROR(1-_xlfn.PERCENTRANK.INC('Master Data'!$J$5:$J$204,'Master Data'!$J38),0)</f>
        <v>0.211</v>
      </c>
      <c r="K38" s="7">
        <f>IFERROR(1-_xlfn.PERCENTRANK.INC('Master Data'!$K$5:$K$204,'Master Data'!$K38),0)</f>
        <v>0.271</v>
      </c>
      <c r="L38" s="7">
        <f>IFERROR(_xlfn.PERCENTRANK.INC('Master Data'!$L$5:$L$204,'Master Data'!$L38),0)</f>
        <v>0.03</v>
      </c>
      <c r="M38" s="7">
        <f>IFERROR(1-_xlfn.PERCENTRANK.INC('Master Data'!$M$5:$M$204,'Master Data'!$M38),0)</f>
        <v>0.608</v>
      </c>
      <c r="N38" s="7">
        <f>IFERROR(1-_xlfn.PERCENTRANK.INC('Master Data'!$N$5:$N$204,'Master Data'!$N38),0)</f>
        <v>0.693</v>
      </c>
      <c r="O38" s="7">
        <f>IFERROR(1-_xlfn.PERCENTRANK.INC('Master Data'!$O$5:$O$204,'Master Data'!$O38),0)</f>
        <v>0.402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197</v>
      </c>
      <c r="C39" s="7">
        <f>IFERROR(_xlfn.PERCENTRANK.INC('Master Data'!$C$5:$C$204,'Master Data'!$C39),0)</f>
        <v>0.03</v>
      </c>
      <c r="D39" s="7">
        <f>IFERROR(_xlfn.PERCENTRANK.INC('Master Data'!$D$5:$D$204,'Master Data'!$D39),0)</f>
        <v>0.05</v>
      </c>
      <c r="E39" s="7">
        <f>IFERROR(_xlfn.PERCENTRANK.INC('Master Data'!$E$5:$E$204,'Master Data'!$E39),0)</f>
        <v>0.04</v>
      </c>
      <c r="F39" s="7">
        <f>IFERROR(_xlfn.PERCENTRANK.INC('Master Data'!$F$5:$F$204,'Master Data'!$F39),0)</f>
        <v>0.04</v>
      </c>
      <c r="G39" s="7">
        <f>IFERROR(_xlfn.PERCENTRANK.INC('Master Data'!$G$5:$G$204,'Master Data'!$G39),0)</f>
        <v>0.025</v>
      </c>
      <c r="H39" s="7">
        <f>IFERROR(_xlfn.PERCENTRANK.INC('Master Data'!$H$5:$H$204,'Master Data'!$H39),0)</f>
        <v>0.04</v>
      </c>
      <c r="I39" s="7">
        <f>IFERROR(_xlfn.PERCENTRANK.INC('Master Data'!$I$5:$I$204,'Master Data'!$I39),0)</f>
        <v>0.367</v>
      </c>
      <c r="J39" s="7">
        <f>IFERROR(1-_xlfn.PERCENTRANK.INC('Master Data'!$J$5:$J$204,'Master Data'!$J39),0)</f>
        <v>0.171</v>
      </c>
      <c r="K39" s="7">
        <f>IFERROR(1-_xlfn.PERCENTRANK.INC('Master Data'!$K$5:$K$204,'Master Data'!$K39),0)</f>
        <v>0.955</v>
      </c>
      <c r="L39" s="7">
        <f>IFERROR(_xlfn.PERCENTRANK.INC('Master Data'!$L$5:$L$204,'Master Data'!$L39),0)</f>
        <v>0.035</v>
      </c>
      <c r="M39" s="7">
        <f>IFERROR(1-_xlfn.PERCENTRANK.INC('Master Data'!$M$5:$M$204,'Master Data'!$M39),0)</f>
        <v>0.688</v>
      </c>
      <c r="N39" s="7">
        <f>IFERROR(1-_xlfn.PERCENTRANK.INC('Master Data'!$N$5:$N$204,'Master Data'!$N39),0)</f>
        <v>0.643</v>
      </c>
      <c r="O39" s="7">
        <f>IFERROR(1-_xlfn.PERCENTRANK.INC('Master Data'!$O$5:$O$204,'Master Data'!$O39),0)</f>
        <v>0.196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177</v>
      </c>
      <c r="C40" s="7">
        <f>IFERROR(_xlfn.PERCENTRANK.INC('Master Data'!$C$5:$C$204,'Master Data'!$C40),0)</f>
        <v>0.025</v>
      </c>
      <c r="D40" s="7">
        <f>IFERROR(_xlfn.PERCENTRANK.INC('Master Data'!$D$5:$D$204,'Master Data'!$D40),0)</f>
        <v>0.005</v>
      </c>
      <c r="E40" s="7">
        <f>IFERROR(_xlfn.PERCENTRANK.INC('Master Data'!$E$5:$E$204,'Master Data'!$E40),0)</f>
        <v>0.352</v>
      </c>
      <c r="F40" s="7">
        <f>IFERROR(_xlfn.PERCENTRANK.INC('Master Data'!$F$5:$F$204,'Master Data'!$F40),0)</f>
        <v>0.221</v>
      </c>
      <c r="G40" s="7">
        <f>IFERROR(_xlfn.PERCENTRANK.INC('Master Data'!$G$5:$G$204,'Master Data'!$G40),0)</f>
        <v>0.211</v>
      </c>
      <c r="H40" s="7">
        <f>IFERROR(_xlfn.PERCENTRANK.INC('Master Data'!$H$5:$H$204,'Master Data'!$H40),0)</f>
        <v>0.467</v>
      </c>
      <c r="I40" s="7">
        <f>IFERROR(_xlfn.PERCENTRANK.INC('Master Data'!$I$5:$I$204,'Master Data'!$I40),0)</f>
        <v>0.266</v>
      </c>
      <c r="J40" s="7">
        <f>IFERROR(1-_xlfn.PERCENTRANK.INC('Master Data'!$J$5:$J$204,'Master Data'!$J40),0)</f>
        <v>0.719</v>
      </c>
      <c r="K40" s="7">
        <f>IFERROR(1-_xlfn.PERCENTRANK.INC('Master Data'!$K$5:$K$204,'Master Data'!$K40),0)</f>
        <v>0.171</v>
      </c>
      <c r="L40" s="7">
        <f>IFERROR(_xlfn.PERCENTRANK.INC('Master Data'!$L$5:$L$204,'Master Data'!$L40),0)</f>
        <v>0.899</v>
      </c>
      <c r="M40" s="7">
        <f>IFERROR(1-_xlfn.PERCENTRANK.INC('Master Data'!$M$5:$M$204,'Master Data'!$M40),0)</f>
        <v>0.025</v>
      </c>
      <c r="N40" s="7">
        <f>IFERROR(1-_xlfn.PERCENTRANK.INC('Master Data'!$N$5:$N$204,'Master Data'!$N40),0)</f>
        <v>0.673</v>
      </c>
      <c r="O40" s="7">
        <f>IFERROR(1-_xlfn.PERCENTRANK.INC('Master Data'!$O$5:$O$204,'Master Data'!$O40),0)</f>
        <v>0.693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" t="s">
        <v>124</v>
      </c>
      <c r="C41" s="7">
        <f>IFERROR(_xlfn.PERCENTRANK.INC('Master Data'!$C$5:$C$204,'Master Data'!$C41),0)</f>
        <v>0.668</v>
      </c>
      <c r="D41" s="7">
        <f>IFERROR(_xlfn.PERCENTRANK.INC('Master Data'!$D$5:$D$204,'Master Data'!$D41),0)</f>
        <v>0.724</v>
      </c>
      <c r="E41" s="7">
        <f>IFERROR(_xlfn.PERCENTRANK.INC('Master Data'!$E$5:$E$204,'Master Data'!$E41),0)</f>
        <v>0.668</v>
      </c>
      <c r="F41" s="7">
        <f>IFERROR(_xlfn.PERCENTRANK.INC('Master Data'!$F$5:$F$204,'Master Data'!$F41),0)</f>
        <v>0.628</v>
      </c>
      <c r="G41" s="7">
        <f>IFERROR(_xlfn.PERCENTRANK.INC('Master Data'!$G$5:$G$204,'Master Data'!$G41),0)</f>
        <v>0.573</v>
      </c>
      <c r="H41" s="7">
        <f>IFERROR(_xlfn.PERCENTRANK.INC('Master Data'!$H$5:$H$204,'Master Data'!$H41),0)</f>
        <v>0.402</v>
      </c>
      <c r="I41" s="7">
        <f>IFERROR(_xlfn.PERCENTRANK.INC('Master Data'!$I$5:$I$204,'Master Data'!$I41),0)</f>
        <v>0.905</v>
      </c>
      <c r="J41" s="7">
        <f>IFERROR(1-_xlfn.PERCENTRANK.INC('Master Data'!$J$5:$J$204,'Master Data'!$J41),0)</f>
        <v>0.397</v>
      </c>
      <c r="K41" s="7">
        <f>IFERROR(1-_xlfn.PERCENTRANK.INC('Master Data'!$K$5:$K$204,'Master Data'!$K41),0)</f>
        <v>0.457</v>
      </c>
      <c r="L41" s="7">
        <f>IFERROR(_xlfn.PERCENTRANK.INC('Master Data'!$L$5:$L$204,'Master Data'!$L41),0)</f>
        <v>0.437</v>
      </c>
      <c r="M41" s="7">
        <f>IFERROR(1-_xlfn.PERCENTRANK.INC('Master Data'!$M$5:$M$204,'Master Data'!$M41),0)</f>
        <v>0.186</v>
      </c>
      <c r="N41" s="7">
        <f>IFERROR(1-_xlfn.PERCENTRANK.INC('Master Data'!$N$5:$N$204,'Master Data'!$N41),0)</f>
        <v>0.211</v>
      </c>
      <c r="O41" s="7">
        <f>IFERROR(1-_xlfn.PERCENTRANK.INC('Master Data'!$O$5:$O$204,'Master Data'!$O41),0)</f>
        <v>0.121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60</v>
      </c>
      <c r="C42" s="7">
        <f>IFERROR(_xlfn.PERCENTRANK.INC('Master Data'!$C$5:$C$204,'Master Data'!$C42),0)</f>
        <v>0.307</v>
      </c>
      <c r="D42" s="7">
        <f>IFERROR(_xlfn.PERCENTRANK.INC('Master Data'!$D$5:$D$204,'Master Data'!$D42),0)</f>
        <v>0.221</v>
      </c>
      <c r="E42" s="7">
        <f>IFERROR(_xlfn.PERCENTRANK.INC('Master Data'!$E$5:$E$204,'Master Data'!$E42),0)</f>
        <v>0.317</v>
      </c>
      <c r="F42" s="7">
        <f>IFERROR(_xlfn.PERCENTRANK.INC('Master Data'!$F$5:$F$204,'Master Data'!$F42),0)</f>
        <v>0.638</v>
      </c>
      <c r="G42" s="7">
        <f>IFERROR(_xlfn.PERCENTRANK.INC('Master Data'!$G$5:$G$204,'Master Data'!$G42),0)</f>
        <v>0.508</v>
      </c>
      <c r="H42" s="7">
        <f>IFERROR(_xlfn.PERCENTRANK.INC('Master Data'!$H$5:$H$204,'Master Data'!$H42),0)</f>
        <v>0.693</v>
      </c>
      <c r="I42" s="7">
        <f>IFERROR(_xlfn.PERCENTRANK.INC('Master Data'!$I$5:$I$204,'Master Data'!$I42),0)</f>
        <v>0.683</v>
      </c>
      <c r="J42" s="7">
        <f>IFERROR(1-_xlfn.PERCENTRANK.INC('Master Data'!$J$5:$J$204,'Master Data'!$J42),0)</f>
        <v>0.925</v>
      </c>
      <c r="K42" s="7">
        <f>IFERROR(1-_xlfn.PERCENTRANK.INC('Master Data'!$K$5:$K$204,'Master Data'!$K42),0)</f>
        <v>0.849</v>
      </c>
      <c r="L42" s="7">
        <f>IFERROR(_xlfn.PERCENTRANK.INC('Master Data'!$L$5:$L$204,'Master Data'!$L42),0)</f>
        <v>0.844</v>
      </c>
      <c r="M42" s="7">
        <f>IFERROR(1-_xlfn.PERCENTRANK.INC('Master Data'!$M$5:$M$204,'Master Data'!$M42),0)</f>
        <v>0.397</v>
      </c>
      <c r="N42" s="7">
        <f>IFERROR(1-_xlfn.PERCENTRANK.INC('Master Data'!$N$5:$N$204,'Master Data'!$N42),0)</f>
        <v>0.849</v>
      </c>
      <c r="O42" s="7">
        <f>IFERROR(1-_xlfn.PERCENTRANK.INC('Master Data'!$O$5:$O$204,'Master Data'!$O42),0)</f>
        <v>0.472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" t="s">
        <v>81</v>
      </c>
      <c r="C43" s="7">
        <f>IFERROR(_xlfn.PERCENTRANK.INC('Master Data'!$C$5:$C$204,'Master Data'!$C43),0)</f>
        <v>0.432</v>
      </c>
      <c r="D43" s="7">
        <f>IFERROR(_xlfn.PERCENTRANK.INC('Master Data'!$D$5:$D$204,'Master Data'!$D43),0)</f>
        <v>0.508</v>
      </c>
      <c r="E43" s="7">
        <f>IFERROR(_xlfn.PERCENTRANK.INC('Master Data'!$E$5:$E$204,'Master Data'!$E43),0)</f>
        <v>0.528</v>
      </c>
      <c r="F43" s="7">
        <f>IFERROR(_xlfn.PERCENTRANK.INC('Master Data'!$F$5:$F$204,'Master Data'!$F43),0)</f>
        <v>0.96</v>
      </c>
      <c r="G43" s="7">
        <f>IFERROR(_xlfn.PERCENTRANK.INC('Master Data'!$G$5:$G$204,'Master Data'!$G43),0)</f>
        <v>0.975</v>
      </c>
      <c r="H43" s="7">
        <f>IFERROR(_xlfn.PERCENTRANK.INC('Master Data'!$H$5:$H$204,'Master Data'!$H43),0)</f>
        <v>0.955</v>
      </c>
      <c r="I43" s="7">
        <f>IFERROR(_xlfn.PERCENTRANK.INC('Master Data'!$I$5:$I$204,'Master Data'!$I43),0)</f>
        <v>0.955</v>
      </c>
      <c r="J43" s="7">
        <f>IFERROR(1-_xlfn.PERCENTRANK.INC('Master Data'!$J$5:$J$204,'Master Data'!$J43),0)</f>
        <v>0.407</v>
      </c>
      <c r="K43" s="7">
        <f>IFERROR(1-_xlfn.PERCENTRANK.INC('Master Data'!$K$5:$K$204,'Master Data'!$K43),0)</f>
        <v>0.588</v>
      </c>
      <c r="L43" s="7">
        <f>IFERROR(_xlfn.PERCENTRANK.INC('Master Data'!$L$5:$L$204,'Master Data'!$L43),0)</f>
        <v>0.92</v>
      </c>
      <c r="M43" s="7">
        <f>IFERROR(1-_xlfn.PERCENTRANK.INC('Master Data'!$M$5:$M$204,'Master Data'!$M43),0)</f>
        <v>0.352</v>
      </c>
      <c r="N43" s="7">
        <f>IFERROR(1-_xlfn.PERCENTRANK.INC('Master Data'!$N$5:$N$204,'Master Data'!$N43),0)</f>
        <v>0.02</v>
      </c>
      <c r="O43" s="7">
        <f>IFERROR(1-_xlfn.PERCENTRANK.INC('Master Data'!$O$5:$O$204,'Master Data'!$O43),0)</f>
        <v>0.04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" t="s">
        <v>29</v>
      </c>
      <c r="C44" s="7">
        <f>IFERROR(_xlfn.PERCENTRANK.INC('Master Data'!$C$5:$C$204,'Master Data'!$C44),0)</f>
        <v>0.905</v>
      </c>
      <c r="D44" s="7">
        <f>IFERROR(_xlfn.PERCENTRANK.INC('Master Data'!$D$5:$D$204,'Master Data'!$D44),0)</f>
        <v>0.91</v>
      </c>
      <c r="E44" s="7">
        <f>IFERROR(_xlfn.PERCENTRANK.INC('Master Data'!$E$5:$E$204,'Master Data'!$E44),0)</f>
        <v>0.879</v>
      </c>
      <c r="F44" s="7">
        <f>IFERROR(_xlfn.PERCENTRANK.INC('Master Data'!$F$5:$F$204,'Master Data'!$F44),0)</f>
        <v>0.573</v>
      </c>
      <c r="G44" s="7">
        <f>IFERROR(_xlfn.PERCENTRANK.INC('Master Data'!$G$5:$G$204,'Master Data'!$G44),0)</f>
        <v>0.492</v>
      </c>
      <c r="H44" s="7">
        <f>IFERROR(_xlfn.PERCENTRANK.INC('Master Data'!$H$5:$H$204,'Master Data'!$H44),0)</f>
        <v>0.714</v>
      </c>
      <c r="I44" s="7">
        <f>IFERROR(_xlfn.PERCENTRANK.INC('Master Data'!$I$5:$I$204,'Master Data'!$I44),0)</f>
        <v>0.302</v>
      </c>
      <c r="J44" s="7">
        <f>IFERROR(1-_xlfn.PERCENTRANK.INC('Master Data'!$J$5:$J$204,'Master Data'!$J44),0)</f>
        <v>0.965</v>
      </c>
      <c r="K44" s="7">
        <f>IFERROR(1-_xlfn.PERCENTRANK.INC('Master Data'!$K$5:$K$204,'Master Data'!$K44),0)</f>
        <v>0.899</v>
      </c>
      <c r="L44" s="7">
        <f>IFERROR(_xlfn.PERCENTRANK.INC('Master Data'!$L$5:$L$204,'Master Data'!$L44),0)</f>
        <v>1</v>
      </c>
      <c r="M44" s="7">
        <f>IFERROR(1-_xlfn.PERCENTRANK.INC('Master Data'!$M$5:$M$204,'Master Data'!$M44),0)</f>
        <v>0.302</v>
      </c>
      <c r="N44" s="7">
        <f>IFERROR(1-_xlfn.PERCENTRANK.INC('Master Data'!$N$5:$N$204,'Master Data'!$N44),0)</f>
        <v>0.377</v>
      </c>
      <c r="O44" s="7">
        <f>IFERROR(1-_xlfn.PERCENTRANK.INC('Master Data'!$O$5:$O$204,'Master Data'!$O44),0)</f>
        <v>0.065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" t="s">
        <v>183</v>
      </c>
      <c r="C45" s="7">
        <f>IFERROR(_xlfn.PERCENTRANK.INC('Master Data'!$C$5:$C$204,'Master Data'!$C45),0)</f>
        <v>0.583</v>
      </c>
      <c r="D45" s="7">
        <f>IFERROR(_xlfn.PERCENTRANK.INC('Master Data'!$D$5:$D$204,'Master Data'!$D45),0)</f>
        <v>0.613</v>
      </c>
      <c r="E45" s="7">
        <f>IFERROR(_xlfn.PERCENTRANK.INC('Master Data'!$E$5:$E$204,'Master Data'!$E45),0)</f>
        <v>0.04</v>
      </c>
      <c r="F45" s="7">
        <f>IFERROR(_xlfn.PERCENTRANK.INC('Master Data'!$F$5:$F$204,'Master Data'!$F45),0)</f>
        <v>0.131</v>
      </c>
      <c r="G45" s="7">
        <f>IFERROR(_xlfn.PERCENTRANK.INC('Master Data'!$G$5:$G$204,'Master Data'!$G45),0)</f>
        <v>0.166</v>
      </c>
      <c r="H45" s="7">
        <f>IFERROR(_xlfn.PERCENTRANK.INC('Master Data'!$H$5:$H$204,'Master Data'!$H45),0)</f>
        <v>0.08</v>
      </c>
      <c r="I45" s="7">
        <f>IFERROR(_xlfn.PERCENTRANK.INC('Master Data'!$I$5:$I$204,'Master Data'!$I45),0)</f>
        <v>0.025</v>
      </c>
      <c r="J45" s="7">
        <f>IFERROR(1-_xlfn.PERCENTRANK.INC('Master Data'!$J$5:$J$204,'Master Data'!$J45),0)</f>
        <v>0.005</v>
      </c>
      <c r="K45" s="7">
        <f>IFERROR(1-_xlfn.PERCENTRANK.INC('Master Data'!$K$5:$K$204,'Master Data'!$K45),0)</f>
        <v>0.03</v>
      </c>
      <c r="L45" s="7">
        <f>IFERROR(_xlfn.PERCENTRANK.INC('Master Data'!$L$5:$L$204,'Master Data'!$L45),0)</f>
        <v>0.07</v>
      </c>
      <c r="M45" s="7">
        <f>IFERROR(1-_xlfn.PERCENTRANK.INC('Master Data'!$M$5:$M$204,'Master Data'!$M45),0)</f>
        <v>0.724</v>
      </c>
      <c r="N45" s="7">
        <f>IFERROR(1-_xlfn.PERCENTRANK.INC('Master Data'!$N$5:$N$204,'Master Data'!$N45),0)</f>
        <v>0.638</v>
      </c>
      <c r="O45" s="7">
        <f>IFERROR(1-_xlfn.PERCENTRANK.INC('Master Data'!$O$5:$O$204,'Master Data'!$O45),0)</f>
        <v>0.98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" t="s">
        <v>90</v>
      </c>
      <c r="C46" s="7">
        <f>IFERROR(_xlfn.PERCENTRANK.INC('Master Data'!$C$5:$C$204,'Master Data'!$C46),0)</f>
        <v>0.482</v>
      </c>
      <c r="D46" s="7">
        <f>IFERROR(_xlfn.PERCENTRANK.INC('Master Data'!$D$5:$D$204,'Master Data'!$D46),0)</f>
        <v>0.859</v>
      </c>
      <c r="E46" s="7">
        <f>IFERROR(_xlfn.PERCENTRANK.INC('Master Data'!$E$5:$E$204,'Master Data'!$E46),0)</f>
        <v>0.04</v>
      </c>
      <c r="F46" s="7">
        <f>IFERROR(_xlfn.PERCENTRANK.INC('Master Data'!$F$5:$F$204,'Master Data'!$F46),0)</f>
        <v>0.392</v>
      </c>
      <c r="G46" s="7">
        <f>IFERROR(_xlfn.PERCENTRANK.INC('Master Data'!$G$5:$G$204,'Master Data'!$G46),0)</f>
        <v>0.985</v>
      </c>
      <c r="H46" s="7">
        <f>IFERROR(_xlfn.PERCENTRANK.INC('Master Data'!$H$5:$H$204,'Master Data'!$H46),0)</f>
        <v>0.281</v>
      </c>
      <c r="I46" s="7">
        <f>IFERROR(_xlfn.PERCENTRANK.INC('Master Data'!$I$5:$I$204,'Master Data'!$I46),0)</f>
        <v>0.889</v>
      </c>
      <c r="J46" s="7">
        <f>IFERROR(1-_xlfn.PERCENTRANK.INC('Master Data'!$J$5:$J$204,'Master Data'!$J46),0)</f>
        <v>0.995</v>
      </c>
      <c r="K46" s="7">
        <f>IFERROR(1-_xlfn.PERCENTRANK.INC('Master Data'!$K$5:$K$204,'Master Data'!$K46),0)</f>
        <v>0.246</v>
      </c>
      <c r="L46" s="7">
        <f>IFERROR(_xlfn.PERCENTRANK.INC('Master Data'!$L$5:$L$204,'Master Data'!$L46),0)</f>
        <v>0.774</v>
      </c>
      <c r="M46" s="7">
        <f>IFERROR(1-_xlfn.PERCENTRANK.INC('Master Data'!$M$5:$M$204,'Master Data'!$M46),0)</f>
        <v>0.141</v>
      </c>
      <c r="N46" s="7">
        <f>IFERROR(1-_xlfn.PERCENTRANK.INC('Master Data'!$N$5:$N$204,'Master Data'!$N46),0)</f>
        <v>0.975</v>
      </c>
      <c r="O46" s="7">
        <f>IFERROR(1-_xlfn.PERCENTRANK.INC('Master Data'!$O$5:$O$204,'Master Data'!$O46),0)</f>
        <v>0.045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" t="s">
        <v>121</v>
      </c>
      <c r="C47" s="7">
        <f>IFERROR(_xlfn.PERCENTRANK.INC('Master Data'!$C$5:$C$204,'Master Data'!$C47),0)</f>
        <v>0.915</v>
      </c>
      <c r="D47" s="7">
        <f>IFERROR(_xlfn.PERCENTRANK.INC('Master Data'!$D$5:$D$204,'Master Data'!$D47),0)</f>
        <v>0.884</v>
      </c>
      <c r="E47" s="7">
        <f>IFERROR(_xlfn.PERCENTRANK.INC('Master Data'!$E$5:$E$204,'Master Data'!$E47),0)</f>
        <v>0.844</v>
      </c>
      <c r="F47" s="7">
        <f>IFERROR(_xlfn.PERCENTRANK.INC('Master Data'!$F$5:$F$204,'Master Data'!$F47),0)</f>
        <v>0.332</v>
      </c>
      <c r="G47" s="7">
        <f>IFERROR(_xlfn.PERCENTRANK.INC('Master Data'!$G$5:$G$204,'Master Data'!$G47),0)</f>
        <v>0.668</v>
      </c>
      <c r="H47" s="7">
        <f>IFERROR(_xlfn.PERCENTRANK.INC('Master Data'!$H$5:$H$204,'Master Data'!$H47),0)</f>
        <v>0.231</v>
      </c>
      <c r="I47" s="7">
        <f>IFERROR(_xlfn.PERCENTRANK.INC('Master Data'!$I$5:$I$204,'Master Data'!$I47),0)</f>
        <v>0.161</v>
      </c>
      <c r="J47" s="7">
        <f>IFERROR(1-_xlfn.PERCENTRANK.INC('Master Data'!$J$5:$J$204,'Master Data'!$J47),0)</f>
        <v>0.085</v>
      </c>
      <c r="K47" s="7">
        <f>IFERROR(1-_xlfn.PERCENTRANK.INC('Master Data'!$K$5:$K$204,'Master Data'!$K47),0)</f>
        <v>0.166</v>
      </c>
      <c r="L47" s="7">
        <f>IFERROR(_xlfn.PERCENTRANK.INC('Master Data'!$L$5:$L$204,'Master Data'!$L47),0)</f>
        <v>0.146</v>
      </c>
      <c r="M47" s="7">
        <f>IFERROR(1-_xlfn.PERCENTRANK.INC('Master Data'!$M$5:$M$204,'Master Data'!$M47),0)</f>
        <v>0.769</v>
      </c>
      <c r="N47" s="7">
        <f>IFERROR(1-_xlfn.PERCENTRANK.INC('Master Data'!$N$5:$N$204,'Master Data'!$N47),0)</f>
        <v>0.407</v>
      </c>
      <c r="O47" s="7">
        <f>IFERROR(1-_xlfn.PERCENTRANK.INC('Master Data'!$O$5:$O$204,'Master Data'!$O47),0)</f>
        <v>0.518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" t="s">
        <v>37</v>
      </c>
      <c r="C48" s="7">
        <f>IFERROR(_xlfn.PERCENTRANK.INC('Master Data'!$C$5:$C$204,'Master Data'!$C48),0)</f>
        <v>0.241</v>
      </c>
      <c r="D48" s="7">
        <f>IFERROR(_xlfn.PERCENTRANK.INC('Master Data'!$D$5:$D$204,'Master Data'!$D48),0)</f>
        <v>0.543</v>
      </c>
      <c r="E48" s="7">
        <f>IFERROR(_xlfn.PERCENTRANK.INC('Master Data'!$E$5:$E$204,'Master Data'!$E48),0)</f>
        <v>0.638</v>
      </c>
      <c r="F48" s="7">
        <f>IFERROR(_xlfn.PERCENTRANK.INC('Master Data'!$F$5:$F$204,'Master Data'!$F48),0)</f>
        <v>0.563</v>
      </c>
      <c r="G48" s="7">
        <f>IFERROR(_xlfn.PERCENTRANK.INC('Master Data'!$G$5:$G$204,'Master Data'!$G48),0)</f>
        <v>0.402</v>
      </c>
      <c r="H48" s="7">
        <f>IFERROR(_xlfn.PERCENTRANK.INC('Master Data'!$H$5:$H$204,'Master Data'!$H48),0)</f>
        <v>0.749</v>
      </c>
      <c r="I48" s="7">
        <f>IFERROR(_xlfn.PERCENTRANK.INC('Master Data'!$I$5:$I$204,'Master Data'!$I48),0)</f>
        <v>0.583</v>
      </c>
      <c r="J48" s="7">
        <f>IFERROR(1-_xlfn.PERCENTRANK.INC('Master Data'!$J$5:$J$204,'Master Data'!$J48),0)</f>
        <v>0.93</v>
      </c>
      <c r="K48" s="7">
        <f>IFERROR(1-_xlfn.PERCENTRANK.INC('Master Data'!$K$5:$K$204,'Master Data'!$K48),0)</f>
        <v>0.829</v>
      </c>
      <c r="L48" s="7">
        <f>IFERROR(_xlfn.PERCENTRANK.INC('Master Data'!$L$5:$L$204,'Master Data'!$L48),0)</f>
        <v>0.849</v>
      </c>
      <c r="M48" s="7">
        <f>IFERROR(1-_xlfn.PERCENTRANK.INC('Master Data'!$M$5:$M$204,'Master Data'!$M48),0)</f>
        <v>0.653</v>
      </c>
      <c r="N48" s="7">
        <f>IFERROR(1-_xlfn.PERCENTRANK.INC('Master Data'!$N$5:$N$204,'Master Data'!$N48),0)</f>
        <v>0.462</v>
      </c>
      <c r="O48" s="7">
        <f>IFERROR(1-_xlfn.PERCENTRANK.INC('Master Data'!$O$5:$O$204,'Master Data'!$O48),0)</f>
        <v>0.688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6" t="s">
        <v>51</v>
      </c>
      <c r="C49" s="7">
        <f>IFERROR(_xlfn.PERCENTRANK.INC('Master Data'!$C$5:$C$204,'Master Data'!$C49),0)</f>
        <v>0.94</v>
      </c>
      <c r="D49" s="7">
        <f>IFERROR(_xlfn.PERCENTRANK.INC('Master Data'!$D$5:$D$204,'Master Data'!$D49),0)</f>
        <v>0.05</v>
      </c>
      <c r="E49" s="7">
        <f>IFERROR(_xlfn.PERCENTRANK.INC('Master Data'!$E$5:$E$204,'Master Data'!$E49),0)</f>
        <v>0.256</v>
      </c>
      <c r="F49" s="7">
        <f>IFERROR(_xlfn.PERCENTRANK.INC('Master Data'!$F$5:$F$204,'Master Data'!$F49),0)</f>
        <v>0.98</v>
      </c>
      <c r="G49" s="7">
        <f>IFERROR(_xlfn.PERCENTRANK.INC('Master Data'!$G$5:$G$204,'Master Data'!$G49),0)</f>
        <v>0.99</v>
      </c>
      <c r="H49" s="7">
        <f>IFERROR(_xlfn.PERCENTRANK.INC('Master Data'!$H$5:$H$204,'Master Data'!$H49),0)</f>
        <v>1</v>
      </c>
      <c r="I49" s="7">
        <f>IFERROR(_xlfn.PERCENTRANK.INC('Master Data'!$I$5:$I$204,'Master Data'!$I49),0)</f>
        <v>0.422</v>
      </c>
      <c r="J49" s="7">
        <f>IFERROR(1-_xlfn.PERCENTRANK.INC('Master Data'!$J$5:$J$204,'Master Data'!$J49),0)</f>
        <v>0.99</v>
      </c>
      <c r="K49" s="7">
        <f>IFERROR(1-_xlfn.PERCENTRANK.INC('Master Data'!$K$5:$K$204,'Master Data'!$K49),0)</f>
        <v>0.925</v>
      </c>
      <c r="L49" s="7">
        <f>IFERROR(_xlfn.PERCENTRANK.INC('Master Data'!$L$5:$L$204,'Master Data'!$L49),0)</f>
        <v>0.995</v>
      </c>
      <c r="M49" s="7">
        <f>IFERROR(1-_xlfn.PERCENTRANK.INC('Master Data'!$M$5:$M$204,'Master Data'!$M49),0)</f>
        <v>0.01</v>
      </c>
      <c r="N49" s="7">
        <f>IFERROR(1-_xlfn.PERCENTRANK.INC('Master Data'!$N$5:$N$204,'Master Data'!$N49),0)</f>
        <v>0.312</v>
      </c>
      <c r="O49" s="7">
        <f>IFERROR(1-_xlfn.PERCENTRANK.INC('Master Data'!$O$5:$O$204,'Master Data'!$O49),0)</f>
        <v>0.166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6" t="s">
        <v>127</v>
      </c>
      <c r="C50" s="7">
        <f>IFERROR(_xlfn.PERCENTRANK.INC('Master Data'!$C$5:$C$204,'Master Data'!$C50),0)</f>
        <v>0.457</v>
      </c>
      <c r="D50" s="7">
        <f>IFERROR(_xlfn.PERCENTRANK.INC('Master Data'!$D$5:$D$204,'Master Data'!$D50),0)</f>
        <v>0.437</v>
      </c>
      <c r="E50" s="7">
        <f>IFERROR(_xlfn.PERCENTRANK.INC('Master Data'!$E$5:$E$204,'Master Data'!$E50),0)</f>
        <v>0.553</v>
      </c>
      <c r="F50" s="7">
        <f>IFERROR(_xlfn.PERCENTRANK.INC('Master Data'!$F$5:$F$204,'Master Data'!$F50),0)</f>
        <v>0.658</v>
      </c>
      <c r="G50" s="7">
        <f>IFERROR(_xlfn.PERCENTRANK.INC('Master Data'!$G$5:$G$204,'Master Data'!$G50),0)</f>
        <v>0.528</v>
      </c>
      <c r="H50" s="7">
        <f>IFERROR(_xlfn.PERCENTRANK.INC('Master Data'!$H$5:$H$204,'Master Data'!$H50),0)</f>
        <v>0.588</v>
      </c>
      <c r="I50" s="7">
        <f>IFERROR(_xlfn.PERCENTRANK.INC('Master Data'!$I$5:$I$204,'Master Data'!$I50),0)</f>
        <v>0.327</v>
      </c>
      <c r="J50" s="7">
        <f>IFERROR(1-_xlfn.PERCENTRANK.INC('Master Data'!$J$5:$J$204,'Master Data'!$J50),0)</f>
        <v>0.678</v>
      </c>
      <c r="K50" s="7">
        <f>IFERROR(1-_xlfn.PERCENTRANK.INC('Master Data'!$K$5:$K$204,'Master Data'!$K50),0)</f>
        <v>0.558</v>
      </c>
      <c r="L50" s="7">
        <f>IFERROR(_xlfn.PERCENTRANK.INC('Master Data'!$L$5:$L$204,'Master Data'!$L50),0)</f>
        <v>0.633</v>
      </c>
      <c r="M50" s="7">
        <f>IFERROR(1-_xlfn.PERCENTRANK.INC('Master Data'!$M$5:$M$204,'Master Data'!$M50),0)</f>
        <v>0.362</v>
      </c>
      <c r="N50" s="7">
        <f>IFERROR(1-_xlfn.PERCENTRANK.INC('Master Data'!$N$5:$N$204,'Master Data'!$N50),0)</f>
        <v>0.045</v>
      </c>
      <c r="O50" s="7">
        <f>IFERROR(1-_xlfn.PERCENTRANK.INC('Master Data'!$O$5:$O$204,'Master Data'!$O50),0)</f>
        <v>0.427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" t="s">
        <v>52</v>
      </c>
      <c r="C51" s="7">
        <f>IFERROR(_xlfn.PERCENTRANK.INC('Master Data'!$C$5:$C$204,'Master Data'!$C51),0)</f>
        <v>0.779</v>
      </c>
      <c r="D51" s="7">
        <f>IFERROR(_xlfn.PERCENTRANK.INC('Master Data'!$D$5:$D$204,'Master Data'!$D51),0)</f>
        <v>0.266</v>
      </c>
      <c r="E51" s="7">
        <f>IFERROR(_xlfn.PERCENTRANK.INC('Master Data'!$E$5:$E$204,'Master Data'!$E51),0)</f>
        <v>0.518</v>
      </c>
      <c r="F51" s="7">
        <f>IFERROR(_xlfn.PERCENTRANK.INC('Master Data'!$F$5:$F$204,'Master Data'!$F51),0)</f>
        <v>0.744</v>
      </c>
      <c r="G51" s="7">
        <f>IFERROR(_xlfn.PERCENTRANK.INC('Master Data'!$G$5:$G$204,'Master Data'!$G51),0)</f>
        <v>0.769</v>
      </c>
      <c r="H51" s="7">
        <f>IFERROR(_xlfn.PERCENTRANK.INC('Master Data'!$H$5:$H$204,'Master Data'!$H51),0)</f>
        <v>0.854</v>
      </c>
      <c r="I51" s="7">
        <f>IFERROR(_xlfn.PERCENTRANK.INC('Master Data'!$I$5:$I$204,'Master Data'!$I51),0)</f>
        <v>0.854</v>
      </c>
      <c r="J51" s="7">
        <f>IFERROR(1-_xlfn.PERCENTRANK.INC('Master Data'!$J$5:$J$204,'Master Data'!$J51),0)</f>
        <v>0.729</v>
      </c>
      <c r="K51" s="7">
        <f>IFERROR(1-_xlfn.PERCENTRANK.INC('Master Data'!$K$5:$K$204,'Master Data'!$K51),0)</f>
        <v>0.603</v>
      </c>
      <c r="L51" s="7">
        <f>IFERROR(_xlfn.PERCENTRANK.INC('Master Data'!$L$5:$L$204,'Master Data'!$L51),0)</f>
        <v>0.668</v>
      </c>
      <c r="M51" s="7">
        <f>IFERROR(1-_xlfn.PERCENTRANK.INC('Master Data'!$M$5:$M$204,'Master Data'!$M51),0)</f>
        <v>0.06</v>
      </c>
      <c r="N51" s="7">
        <f>IFERROR(1-_xlfn.PERCENTRANK.INC('Master Data'!$N$5:$N$204,'Master Data'!$N51),0)</f>
        <v>0.839</v>
      </c>
      <c r="O51" s="7">
        <f>IFERROR(1-_xlfn.PERCENTRANK.INC('Master Data'!$O$5:$O$204,'Master Data'!$O51),0)</f>
        <v>0.302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" t="s">
        <v>62</v>
      </c>
      <c r="C52" s="7">
        <f>IFERROR(_xlfn.PERCENTRANK.INC('Master Data'!$C$5:$C$204,'Master Data'!$C52),0)</f>
        <v>0.236</v>
      </c>
      <c r="D52" s="7">
        <f>IFERROR(_xlfn.PERCENTRANK.INC('Master Data'!$D$5:$D$204,'Master Data'!$D52),0)</f>
        <v>0.392</v>
      </c>
      <c r="E52" s="7">
        <f>IFERROR(_xlfn.PERCENTRANK.INC('Master Data'!$E$5:$E$204,'Master Data'!$E52),0)</f>
        <v>0.472</v>
      </c>
      <c r="F52" s="7">
        <f>IFERROR(_xlfn.PERCENTRANK.INC('Master Data'!$F$5:$F$204,'Master Data'!$F52),0)</f>
        <v>0.985</v>
      </c>
      <c r="G52" s="7">
        <f>IFERROR(_xlfn.PERCENTRANK.INC('Master Data'!$G$5:$G$204,'Master Data'!$G52),0)</f>
        <v>0.98</v>
      </c>
      <c r="H52" s="7">
        <f>IFERROR(_xlfn.PERCENTRANK.INC('Master Data'!$H$5:$H$204,'Master Data'!$H52),0)</f>
        <v>0.995</v>
      </c>
      <c r="I52" s="7">
        <f>IFERROR(_xlfn.PERCENTRANK.INC('Master Data'!$I$5:$I$204,'Master Data'!$I52),0)</f>
        <v>0.95</v>
      </c>
      <c r="J52" s="7">
        <f>IFERROR(1-_xlfn.PERCENTRANK.INC('Master Data'!$J$5:$J$204,'Master Data'!$J52),0)</f>
        <v>0.774</v>
      </c>
      <c r="K52" s="7">
        <f>IFERROR(1-_xlfn.PERCENTRANK.INC('Master Data'!$K$5:$K$204,'Master Data'!$K52),0)</f>
        <v>0.819</v>
      </c>
      <c r="L52" s="7">
        <f>IFERROR(_xlfn.PERCENTRANK.INC('Master Data'!$L$5:$L$204,'Master Data'!$L52),0)</f>
        <v>0.905</v>
      </c>
      <c r="M52" s="7">
        <f>IFERROR(1-_xlfn.PERCENTRANK.INC('Master Data'!$M$5:$M$204,'Master Data'!$M52),0)</f>
        <v>0.412</v>
      </c>
      <c r="N52" s="7">
        <f>IFERROR(1-_xlfn.PERCENTRANK.INC('Master Data'!$N$5:$N$204,'Master Data'!$N52),0)</f>
        <v>0.111</v>
      </c>
      <c r="O52" s="7">
        <f>IFERROR(1-_xlfn.PERCENTRANK.INC('Master Data'!$O$5:$O$204,'Master Data'!$O52),0)</f>
        <v>0.005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" t="s">
        <v>119</v>
      </c>
      <c r="C53" s="7">
        <f>IFERROR(_xlfn.PERCENTRANK.INC('Master Data'!$C$5:$C$204,'Master Data'!$C53),0)</f>
        <v>0.206</v>
      </c>
      <c r="D53" s="7">
        <f>IFERROR(_xlfn.PERCENTRANK.INC('Master Data'!$D$5:$D$204,'Master Data'!$D53),0)</f>
        <v>0.261</v>
      </c>
      <c r="E53" s="7">
        <f>IFERROR(_xlfn.PERCENTRANK.INC('Master Data'!$E$5:$E$204,'Master Data'!$E53),0)</f>
        <v>0.327</v>
      </c>
      <c r="F53" s="7">
        <f>IFERROR(_xlfn.PERCENTRANK.INC('Master Data'!$F$5:$F$204,'Master Data'!$F53),0)</f>
        <v>0.422</v>
      </c>
      <c r="G53" s="7">
        <f>IFERROR(_xlfn.PERCENTRANK.INC('Master Data'!$G$5:$G$204,'Master Data'!$G53),0)</f>
        <v>0.286</v>
      </c>
      <c r="H53" s="7">
        <f>IFERROR(_xlfn.PERCENTRANK.INC('Master Data'!$H$5:$H$204,'Master Data'!$H53),0)</f>
        <v>0.608</v>
      </c>
      <c r="I53" s="7">
        <f>IFERROR(_xlfn.PERCENTRANK.INC('Master Data'!$I$5:$I$204,'Master Data'!$I53),0)</f>
        <v>0.457</v>
      </c>
      <c r="J53" s="7">
        <f>IFERROR(1-_xlfn.PERCENTRANK.INC('Master Data'!$J$5:$J$204,'Master Data'!$J53),0)</f>
        <v>0.734</v>
      </c>
      <c r="K53" s="7">
        <f>IFERROR(1-_xlfn.PERCENTRANK.INC('Master Data'!$K$5:$K$204,'Master Data'!$K53),0)</f>
        <v>0.618</v>
      </c>
      <c r="L53" s="7">
        <f>IFERROR(_xlfn.PERCENTRANK.INC('Master Data'!$L$5:$L$204,'Master Data'!$L53),0)</f>
        <v>0.96</v>
      </c>
      <c r="M53" s="7">
        <f>IFERROR(1-_xlfn.PERCENTRANK.INC('Master Data'!$M$5:$M$204,'Master Data'!$M53),0)</f>
        <v>0.633</v>
      </c>
      <c r="N53" s="7">
        <f>IFERROR(1-_xlfn.PERCENTRANK.INC('Master Data'!$N$5:$N$204,'Master Data'!$N53),0)</f>
        <v>0.065</v>
      </c>
      <c r="O53" s="7">
        <f>IFERROR(1-_xlfn.PERCENTRANK.INC('Master Data'!$O$5:$O$204,'Master Data'!$O53),0)</f>
        <v>0.698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" t="s">
        <v>58</v>
      </c>
      <c r="C54" s="7">
        <f>IFERROR(_xlfn.PERCENTRANK.INC('Master Data'!$C$5:$C$204,'Master Data'!$C54),0)</f>
        <v>0.372</v>
      </c>
      <c r="D54" s="7">
        <f>IFERROR(_xlfn.PERCENTRANK.INC('Master Data'!$D$5:$D$204,'Master Data'!$D54),0)</f>
        <v>0.658</v>
      </c>
      <c r="E54" s="7">
        <f>IFERROR(_xlfn.PERCENTRANK.INC('Master Data'!$E$5:$E$204,'Master Data'!$E54),0)</f>
        <v>0.759</v>
      </c>
      <c r="F54" s="7">
        <f>IFERROR(_xlfn.PERCENTRANK.INC('Master Data'!$F$5:$F$204,'Master Data'!$F54),0)</f>
        <v>0.819</v>
      </c>
      <c r="G54" s="7">
        <f>IFERROR(_xlfn.PERCENTRANK.INC('Master Data'!$G$5:$G$204,'Master Data'!$G54),0)</f>
        <v>0.829</v>
      </c>
      <c r="H54" s="7">
        <f>IFERROR(_xlfn.PERCENTRANK.INC('Master Data'!$H$5:$H$204,'Master Data'!$H54),0)</f>
        <v>0.724</v>
      </c>
      <c r="I54" s="7">
        <f>IFERROR(_xlfn.PERCENTRANK.INC('Master Data'!$I$5:$I$204,'Master Data'!$I54),0)</f>
        <v>0.869</v>
      </c>
      <c r="J54" s="7">
        <f>IFERROR(1-_xlfn.PERCENTRANK.INC('Master Data'!$J$5:$J$204,'Master Data'!$J54),0)</f>
        <v>0.422</v>
      </c>
      <c r="K54" s="7">
        <f>IFERROR(1-_xlfn.PERCENTRANK.INC('Master Data'!$K$5:$K$204,'Master Data'!$K54),0)</f>
        <v>0.503</v>
      </c>
      <c r="L54" s="7">
        <f>IFERROR(_xlfn.PERCENTRANK.INC('Master Data'!$L$5:$L$204,'Master Data'!$L54),0)</f>
        <v>0.513</v>
      </c>
      <c r="M54" s="7">
        <f>IFERROR(1-_xlfn.PERCENTRANK.INC('Master Data'!$M$5:$M$204,'Master Data'!$M54),0)</f>
        <v>0.623</v>
      </c>
      <c r="N54" s="7">
        <f>IFERROR(1-_xlfn.PERCENTRANK.INC('Master Data'!$N$5:$N$204,'Master Data'!$N54),0)</f>
        <v>0.266</v>
      </c>
      <c r="O54" s="7">
        <f>IFERROR(1-_xlfn.PERCENTRANK.INC('Master Data'!$O$5:$O$204,'Master Data'!$O54),0)</f>
        <v>0.538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" t="s">
        <v>82</v>
      </c>
      <c r="C55" s="7">
        <f>IFERROR(_xlfn.PERCENTRANK.INC('Master Data'!$C$5:$C$204,'Master Data'!$C55),0)</f>
        <v>0.412</v>
      </c>
      <c r="D55" s="7">
        <f>IFERROR(_xlfn.PERCENTRANK.INC('Master Data'!$D$5:$D$204,'Master Data'!$D55),0)</f>
        <v>0.492</v>
      </c>
      <c r="E55" s="7">
        <f>IFERROR(_xlfn.PERCENTRANK.INC('Master Data'!$E$5:$E$204,'Master Data'!$E55),0)</f>
        <v>0.477</v>
      </c>
      <c r="F55" s="7">
        <f>IFERROR(_xlfn.PERCENTRANK.INC('Master Data'!$F$5:$F$204,'Master Data'!$F55),0)</f>
        <v>0.794</v>
      </c>
      <c r="G55" s="7">
        <f>IFERROR(_xlfn.PERCENTRANK.INC('Master Data'!$G$5:$G$204,'Master Data'!$G55),0)</f>
        <v>0.784</v>
      </c>
      <c r="H55" s="7">
        <f>IFERROR(_xlfn.PERCENTRANK.INC('Master Data'!$H$5:$H$204,'Master Data'!$H55),0)</f>
        <v>0.834</v>
      </c>
      <c r="I55" s="7">
        <f>IFERROR(_xlfn.PERCENTRANK.INC('Master Data'!$I$5:$I$204,'Master Data'!$I55),0)</f>
        <v>0.759</v>
      </c>
      <c r="J55" s="7">
        <f>IFERROR(1-_xlfn.PERCENTRANK.INC('Master Data'!$J$5:$J$204,'Master Data'!$J55),0)</f>
        <v>0.744</v>
      </c>
      <c r="K55" s="7">
        <f>IFERROR(1-_xlfn.PERCENTRANK.INC('Master Data'!$K$5:$K$204,'Master Data'!$K55),0)</f>
        <v>0.653</v>
      </c>
      <c r="L55" s="7">
        <f>IFERROR(_xlfn.PERCENTRANK.INC('Master Data'!$L$5:$L$204,'Master Data'!$L55),0)</f>
        <v>0.769</v>
      </c>
      <c r="M55" s="7">
        <f>IFERROR(1-_xlfn.PERCENTRANK.INC('Master Data'!$M$5:$M$204,'Master Data'!$M55),0)</f>
        <v>0.347</v>
      </c>
      <c r="N55" s="7">
        <f>IFERROR(1-_xlfn.PERCENTRANK.INC('Master Data'!$N$5:$N$204,'Master Data'!$N55),0)</f>
        <v>0.196</v>
      </c>
      <c r="O55" s="7">
        <f>IFERROR(1-_xlfn.PERCENTRANK.INC('Master Data'!$O$5:$O$204,'Master Data'!$O55),0)</f>
        <v>0.206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" t="s">
        <v>72</v>
      </c>
      <c r="C56" s="7">
        <f>IFERROR(_xlfn.PERCENTRANK.INC('Master Data'!$C$5:$C$204,'Master Data'!$C56),0)</f>
        <v>0.256</v>
      </c>
      <c r="D56" s="7">
        <f>IFERROR(_xlfn.PERCENTRANK.INC('Master Data'!$D$5:$D$204,'Master Data'!$D56),0)</f>
        <v>0.296</v>
      </c>
      <c r="E56" s="7">
        <f>IFERROR(_xlfn.PERCENTRANK.INC('Master Data'!$E$5:$E$204,'Master Data'!$E56),0)</f>
        <v>0.342</v>
      </c>
      <c r="F56" s="7">
        <f>IFERROR(_xlfn.PERCENTRANK.INC('Master Data'!$F$5:$F$204,'Master Data'!$F56),0)</f>
        <v>0.849</v>
      </c>
      <c r="G56" s="7">
        <f>IFERROR(_xlfn.PERCENTRANK.INC('Master Data'!$G$5:$G$204,'Master Data'!$G56),0)</f>
        <v>0.879</v>
      </c>
      <c r="H56" s="7">
        <f>IFERROR(_xlfn.PERCENTRANK.INC('Master Data'!$H$5:$H$204,'Master Data'!$H56),0)</f>
        <v>0.899</v>
      </c>
      <c r="I56" s="7">
        <f>IFERROR(_xlfn.PERCENTRANK.INC('Master Data'!$I$5:$I$204,'Master Data'!$I56),0)</f>
        <v>0.593</v>
      </c>
      <c r="J56" s="7">
        <f>IFERROR(1-_xlfn.PERCENTRANK.INC('Master Data'!$J$5:$J$204,'Master Data'!$J56),0)</f>
        <v>0.714</v>
      </c>
      <c r="K56" s="7">
        <f>IFERROR(1-_xlfn.PERCENTRANK.INC('Master Data'!$K$5:$K$204,'Master Data'!$K56),0)</f>
        <v>0.683</v>
      </c>
      <c r="L56" s="7">
        <f>IFERROR(_xlfn.PERCENTRANK.INC('Master Data'!$L$5:$L$204,'Master Data'!$L56),0)</f>
        <v>0.749</v>
      </c>
      <c r="M56" s="7">
        <f>IFERROR(1-_xlfn.PERCENTRANK.INC('Master Data'!$M$5:$M$204,'Master Data'!$M56),0)</f>
        <v>0.246</v>
      </c>
      <c r="N56" s="7">
        <f>IFERROR(1-_xlfn.PERCENTRANK.INC('Master Data'!$N$5:$N$204,'Master Data'!$N56),0)</f>
        <v>0.925</v>
      </c>
      <c r="O56" s="7">
        <f>IFERROR(1-_xlfn.PERCENTRANK.INC('Master Data'!$O$5:$O$204,'Master Data'!$O56),0)</f>
        <v>0.201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" t="s">
        <v>66</v>
      </c>
      <c r="C57" s="7">
        <f>IFERROR(_xlfn.PERCENTRANK.INC('Master Data'!$C$5:$C$204,'Master Data'!$C57),0)</f>
        <v>0.518</v>
      </c>
      <c r="D57" s="7">
        <f>IFERROR(_xlfn.PERCENTRANK.INC('Master Data'!$D$5:$D$204,'Master Data'!$D57),0)</f>
        <v>0.407</v>
      </c>
      <c r="E57" s="7">
        <f>IFERROR(_xlfn.PERCENTRANK.INC('Master Data'!$E$5:$E$204,'Master Data'!$E57),0)</f>
        <v>0.392</v>
      </c>
      <c r="F57" s="7">
        <f>IFERROR(_xlfn.PERCENTRANK.INC('Master Data'!$F$5:$F$204,'Master Data'!$F57),0)</f>
        <v>0.769</v>
      </c>
      <c r="G57" s="7">
        <f>IFERROR(_xlfn.PERCENTRANK.INC('Master Data'!$G$5:$G$204,'Master Data'!$G57),0)</f>
        <v>0.709</v>
      </c>
      <c r="H57" s="7">
        <f>IFERROR(_xlfn.PERCENTRANK.INC('Master Data'!$H$5:$H$204,'Master Data'!$H57),0)</f>
        <v>0.864</v>
      </c>
      <c r="I57" s="7">
        <f>IFERROR(_xlfn.PERCENTRANK.INC('Master Data'!$I$5:$I$204,'Master Data'!$I57),0)</f>
        <v>0.422</v>
      </c>
      <c r="J57" s="7">
        <f>IFERROR(1-_xlfn.PERCENTRANK.INC('Master Data'!$J$5:$J$204,'Master Data'!$J57),0)</f>
        <v>0.92</v>
      </c>
      <c r="K57" s="7">
        <f>IFERROR(1-_xlfn.PERCENTRANK.INC('Master Data'!$K$5:$K$204,'Master Data'!$K57),0)</f>
        <v>0.874</v>
      </c>
      <c r="L57" s="7">
        <f>IFERROR(_xlfn.PERCENTRANK.INC('Master Data'!$L$5:$L$204,'Master Data'!$L57),0)</f>
        <v>0.97</v>
      </c>
      <c r="M57" s="7">
        <f>IFERROR(1-_xlfn.PERCENTRANK.INC('Master Data'!$M$5:$M$204,'Master Data'!$M57),0)</f>
        <v>0.271</v>
      </c>
      <c r="N57" s="7">
        <f>IFERROR(1-_xlfn.PERCENTRANK.INC('Master Data'!$N$5:$N$204,'Master Data'!$N57),0)</f>
        <v>0.322</v>
      </c>
      <c r="O57" s="7">
        <f>IFERROR(1-_xlfn.PERCENTRANK.INC('Master Data'!$O$5:$O$204,'Master Data'!$O57),0)</f>
        <v>0.266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6" t="s">
        <v>55</v>
      </c>
      <c r="C58" s="7">
        <f>IFERROR(_xlfn.PERCENTRANK.INC('Master Data'!$C$5:$C$204,'Master Data'!$C58),0)</f>
        <v>0.844</v>
      </c>
      <c r="D58" s="7">
        <f>IFERROR(_xlfn.PERCENTRANK.INC('Master Data'!$D$5:$D$204,'Master Data'!$D58),0)</f>
        <v>0.94</v>
      </c>
      <c r="E58" s="7">
        <f>IFERROR(_xlfn.PERCENTRANK.INC('Master Data'!$E$5:$E$204,'Master Data'!$E58),0)</f>
        <v>0.965</v>
      </c>
      <c r="F58" s="7">
        <f>IFERROR(_xlfn.PERCENTRANK.INC('Master Data'!$F$5:$F$204,'Master Data'!$F58),0)</f>
        <v>0.804</v>
      </c>
      <c r="G58" s="7">
        <f>IFERROR(_xlfn.PERCENTRANK.INC('Master Data'!$G$5:$G$204,'Master Data'!$G58),0)</f>
        <v>0.764</v>
      </c>
      <c r="H58" s="7">
        <f>IFERROR(_xlfn.PERCENTRANK.INC('Master Data'!$H$5:$H$204,'Master Data'!$H58),0)</f>
        <v>0.628</v>
      </c>
      <c r="I58" s="7">
        <f>IFERROR(_xlfn.PERCENTRANK.INC('Master Data'!$I$5:$I$204,'Master Data'!$I58),0)</f>
        <v>1</v>
      </c>
      <c r="J58" s="7">
        <f>IFERROR(1-_xlfn.PERCENTRANK.INC('Master Data'!$J$5:$J$204,'Master Data'!$J58),0)</f>
        <v>0.497</v>
      </c>
      <c r="K58" s="7">
        <f>IFERROR(1-_xlfn.PERCENTRANK.INC('Master Data'!$K$5:$K$204,'Master Data'!$K58),0)</f>
        <v>0.528</v>
      </c>
      <c r="L58" s="7">
        <f>IFERROR(_xlfn.PERCENTRANK.INC('Master Data'!$L$5:$L$204,'Master Data'!$L58),0)</f>
        <v>0.417</v>
      </c>
      <c r="M58" s="7">
        <f>IFERROR(1-_xlfn.PERCENTRANK.INC('Master Data'!$M$5:$M$204,'Master Data'!$M58),0)</f>
        <v>0.02</v>
      </c>
      <c r="N58" s="7">
        <f>IFERROR(1-_xlfn.PERCENTRANK.INC('Master Data'!$N$5:$N$204,'Master Data'!$N58),0)</f>
        <v>0.508</v>
      </c>
      <c r="O58" s="7">
        <f>IFERROR(1-_xlfn.PERCENTRANK.INC('Master Data'!$O$5:$O$204,'Master Data'!$O58),0)</f>
        <v>0.015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6" t="s">
        <v>201</v>
      </c>
      <c r="C59" s="7">
        <f>IFERROR(_xlfn.PERCENTRANK.INC('Master Data'!$C$5:$C$204,'Master Data'!$C59),0)</f>
        <v>0.166</v>
      </c>
      <c r="D59" s="7">
        <f>IFERROR(_xlfn.PERCENTRANK.INC('Master Data'!$D$5:$D$204,'Master Data'!$D59),0)</f>
        <v>0.03</v>
      </c>
      <c r="E59" s="7">
        <f>IFERROR(_xlfn.PERCENTRANK.INC('Master Data'!$E$5:$E$204,'Master Data'!$E59),0)</f>
        <v>0.271</v>
      </c>
      <c r="F59" s="7">
        <f>IFERROR(_xlfn.PERCENTRANK.INC('Master Data'!$F$5:$F$204,'Master Data'!$F59),0)</f>
        <v>0.226</v>
      </c>
      <c r="G59" s="7">
        <f>IFERROR(_xlfn.PERCENTRANK.INC('Master Data'!$G$5:$G$204,'Master Data'!$G59),0)</f>
        <v>0.156</v>
      </c>
      <c r="H59" s="7">
        <f>IFERROR(_xlfn.PERCENTRANK.INC('Master Data'!$H$5:$H$204,'Master Data'!$H59),0)</f>
        <v>0.317</v>
      </c>
      <c r="I59" s="7">
        <f>IFERROR(_xlfn.PERCENTRANK.INC('Master Data'!$I$5:$I$204,'Master Data'!$I59),0)</f>
        <v>0.156</v>
      </c>
      <c r="J59" s="7">
        <f>IFERROR(1-_xlfn.PERCENTRANK.INC('Master Data'!$J$5:$J$204,'Master Data'!$J59),0)</f>
        <v>0.503</v>
      </c>
      <c r="K59" s="7">
        <f>IFERROR(1-_xlfn.PERCENTRANK.INC('Master Data'!$K$5:$K$204,'Master Data'!$K59),0)</f>
        <v>0.256</v>
      </c>
      <c r="L59" s="7">
        <f>IFERROR(_xlfn.PERCENTRANK.INC('Master Data'!$L$5:$L$204,'Master Data'!$L59),0)</f>
        <v>0.342</v>
      </c>
      <c r="M59" s="7">
        <f>IFERROR(1-_xlfn.PERCENTRANK.INC('Master Data'!$M$5:$M$204,'Master Data'!$M59),0)</f>
        <v>0.07</v>
      </c>
      <c r="N59" s="7">
        <f>IFERROR(1-_xlfn.PERCENTRANK.INC('Master Data'!$N$5:$N$204,'Master Data'!$N59),0)</f>
        <v>0.131</v>
      </c>
      <c r="O59" s="7">
        <f>IFERROR(1-_xlfn.PERCENTRANK.INC('Master Data'!$O$5:$O$204,'Master Data'!$O59),0)</f>
        <v>0.508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6" t="s">
        <v>39</v>
      </c>
      <c r="C60" s="7">
        <f>IFERROR(_xlfn.PERCENTRANK.INC('Master Data'!$C$5:$C$204,'Master Data'!$C60),0)</f>
        <v>0.437</v>
      </c>
      <c r="D60" s="7">
        <f>IFERROR(_xlfn.PERCENTRANK.INC('Master Data'!$D$5:$D$204,'Master Data'!$D60),0)</f>
        <v>0.678</v>
      </c>
      <c r="E60" s="7">
        <f>IFERROR(_xlfn.PERCENTRANK.INC('Master Data'!$E$5:$E$204,'Master Data'!$E60),0)</f>
        <v>0.678</v>
      </c>
      <c r="F60" s="7">
        <f>IFERROR(_xlfn.PERCENTRANK.INC('Master Data'!$F$5:$F$204,'Master Data'!$F60),0)</f>
        <v>0.553</v>
      </c>
      <c r="G60" s="7">
        <f>IFERROR(_xlfn.PERCENTRANK.INC('Master Data'!$G$5:$G$204,'Master Data'!$G60),0)</f>
        <v>0.447</v>
      </c>
      <c r="H60" s="7">
        <f>IFERROR(_xlfn.PERCENTRANK.INC('Master Data'!$H$5:$H$204,'Master Data'!$H60),0)</f>
        <v>0.709</v>
      </c>
      <c r="I60" s="7">
        <f>IFERROR(_xlfn.PERCENTRANK.INC('Master Data'!$I$5:$I$204,'Master Data'!$I60),0)</f>
        <v>0.558</v>
      </c>
      <c r="J60" s="7">
        <f>IFERROR(1-_xlfn.PERCENTRANK.INC('Master Data'!$J$5:$J$204,'Master Data'!$J60),0)</f>
        <v>0.618</v>
      </c>
      <c r="K60" s="7">
        <f>IFERROR(1-_xlfn.PERCENTRANK.INC('Master Data'!$K$5:$K$204,'Master Data'!$K60),0)</f>
        <v>0.543</v>
      </c>
      <c r="L60" s="7">
        <f>IFERROR(_xlfn.PERCENTRANK.INC('Master Data'!$L$5:$L$204,'Master Data'!$L60),0)</f>
        <v>0.779</v>
      </c>
      <c r="M60" s="7">
        <f>IFERROR(1-_xlfn.PERCENTRANK.INC('Master Data'!$M$5:$M$204,'Master Data'!$M60),0)</f>
        <v>0.809</v>
      </c>
      <c r="N60" s="7">
        <f>IFERROR(1-_xlfn.PERCENTRANK.INC('Master Data'!$N$5:$N$204,'Master Data'!$N60),0)</f>
        <v>0.487</v>
      </c>
      <c r="O60" s="7">
        <f>IFERROR(1-_xlfn.PERCENTRANK.INC('Master Data'!$O$5:$O$204,'Master Data'!$O60),0)</f>
        <v>0.719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6" t="s">
        <v>26</v>
      </c>
      <c r="C61" s="7">
        <f>IFERROR(_xlfn.PERCENTRANK.INC('Master Data'!$C$5:$C$204,'Master Data'!$C61),0)</f>
        <v>0.633</v>
      </c>
      <c r="D61" s="7">
        <f>IFERROR(_xlfn.PERCENTRANK.INC('Master Data'!$D$5:$D$204,'Master Data'!$D61),0)</f>
        <v>0.533</v>
      </c>
      <c r="E61" s="7">
        <f>IFERROR(_xlfn.PERCENTRANK.INC('Master Data'!$E$5:$E$204,'Master Data'!$E61),0)</f>
        <v>0.593</v>
      </c>
      <c r="F61" s="7">
        <f>IFERROR(_xlfn.PERCENTRANK.INC('Master Data'!$F$5:$F$204,'Master Data'!$F61),0)</f>
        <v>0.889</v>
      </c>
      <c r="G61" s="7">
        <f>IFERROR(_xlfn.PERCENTRANK.INC('Master Data'!$G$5:$G$204,'Master Data'!$G61),0)</f>
        <v>0.869</v>
      </c>
      <c r="H61" s="7">
        <f>IFERROR(_xlfn.PERCENTRANK.INC('Master Data'!$H$5:$H$204,'Master Data'!$H61),0)</f>
        <v>0.92</v>
      </c>
      <c r="I61" s="7">
        <f>IFERROR(_xlfn.PERCENTRANK.INC('Master Data'!$I$5:$I$204,'Master Data'!$I61),0)</f>
        <v>0.558</v>
      </c>
      <c r="J61" s="7">
        <f>IFERROR(1-_xlfn.PERCENTRANK.INC('Master Data'!$J$5:$J$204,'Master Data'!$J61),0)</f>
        <v>0.879</v>
      </c>
      <c r="K61" s="7">
        <f>IFERROR(1-_xlfn.PERCENTRANK.INC('Master Data'!$K$5:$K$204,'Master Data'!$K61),0)</f>
        <v>0.854</v>
      </c>
      <c r="L61" s="7">
        <f>IFERROR(_xlfn.PERCENTRANK.INC('Master Data'!$L$5:$L$204,'Master Data'!$L61),0)</f>
        <v>0.945</v>
      </c>
      <c r="M61" s="7">
        <f>IFERROR(1-_xlfn.PERCENTRANK.INC('Master Data'!$M$5:$M$204,'Master Data'!$M61),0)</f>
        <v>0.452</v>
      </c>
      <c r="N61" s="7">
        <f>IFERROR(1-_xlfn.PERCENTRANK.INC('Master Data'!$N$5:$N$204,'Master Data'!$N61),0)</f>
        <v>0.251</v>
      </c>
      <c r="O61" s="7">
        <f>IFERROR(1-_xlfn.PERCENTRANK.INC('Master Data'!$O$5:$O$204,'Master Data'!$O61),0)</f>
        <v>0.362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6" t="s">
        <v>188</v>
      </c>
      <c r="C62" s="7">
        <f>IFERROR(_xlfn.PERCENTRANK.INC('Master Data'!$C$5:$C$204,'Master Data'!$C62),0)</f>
        <v>0.995</v>
      </c>
      <c r="D62" s="7">
        <f>IFERROR(_xlfn.PERCENTRANK.INC('Master Data'!$D$5:$D$204,'Master Data'!$D62),0)</f>
        <v>0.05</v>
      </c>
      <c r="E62" s="7">
        <f>IFERROR(_xlfn.PERCENTRANK.INC('Master Data'!$E$5:$E$204,'Master Data'!$E62),0)</f>
        <v>0.04</v>
      </c>
      <c r="F62" s="7">
        <f>IFERROR(_xlfn.PERCENTRANK.INC('Master Data'!$F$5:$F$204,'Master Data'!$F62),0)</f>
        <v>0</v>
      </c>
      <c r="G62" s="7">
        <f>IFERROR(_xlfn.PERCENTRANK.INC('Master Data'!$G$5:$G$204,'Master Data'!$G62),0)</f>
        <v>0.005</v>
      </c>
      <c r="H62" s="7">
        <f>IFERROR(_xlfn.PERCENTRANK.INC('Master Data'!$H$5:$H$204,'Master Data'!$H62),0)</f>
        <v>0.005</v>
      </c>
      <c r="I62" s="7">
        <f>IFERROR(_xlfn.PERCENTRANK.INC('Master Data'!$I$5:$I$204,'Master Data'!$I62),0)</f>
        <v>0.497</v>
      </c>
      <c r="J62" s="7">
        <f>IFERROR(1-_xlfn.PERCENTRANK.INC('Master Data'!$J$5:$J$204,'Master Data'!$J62),0)</f>
        <v>0.633</v>
      </c>
      <c r="K62" s="7">
        <f>IFERROR(1-_xlfn.PERCENTRANK.INC('Master Data'!$K$5:$K$204,'Master Data'!$K62),0)</f>
        <v>0.95</v>
      </c>
      <c r="L62" s="7">
        <f>IFERROR(_xlfn.PERCENTRANK.INC('Master Data'!$L$5:$L$204,'Master Data'!$L62),0)</f>
        <v>0.01</v>
      </c>
      <c r="M62" s="7">
        <f>IFERROR(1-_xlfn.PERCENTRANK.INC('Master Data'!$M$5:$M$204,'Master Data'!$M62),0)</f>
        <v>0.045</v>
      </c>
      <c r="N62" s="7">
        <f>IFERROR(1-_xlfn.PERCENTRANK.INC('Master Data'!$N$5:$N$204,'Master Data'!$N62),0)</f>
        <v>0.181</v>
      </c>
      <c r="O62" s="7">
        <f>IFERROR(1-_xlfn.PERCENTRANK.INC('Master Data'!$O$5:$O$204,'Master Data'!$O62),0)</f>
        <v>0.513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6" t="s">
        <v>54</v>
      </c>
      <c r="C63" s="7">
        <f>IFERROR(_xlfn.PERCENTRANK.INC('Master Data'!$C$5:$C$204,'Master Data'!$C63),0)</f>
        <v>0.508</v>
      </c>
      <c r="D63" s="7">
        <f>IFERROR(_xlfn.PERCENTRANK.INC('Master Data'!$D$5:$D$204,'Master Data'!$D63),0)</f>
        <v>0.327</v>
      </c>
      <c r="E63" s="7">
        <f>IFERROR(_xlfn.PERCENTRANK.INC('Master Data'!$E$5:$E$204,'Master Data'!$E63),0)</f>
        <v>0.357</v>
      </c>
      <c r="F63" s="7">
        <f>IFERROR(_xlfn.PERCENTRANK.INC('Master Data'!$F$5:$F$204,'Master Data'!$F63),0)</f>
        <v>0.668</v>
      </c>
      <c r="G63" s="7">
        <f>IFERROR(_xlfn.PERCENTRANK.INC('Master Data'!$G$5:$G$204,'Master Data'!$G63),0)</f>
        <v>0.558</v>
      </c>
      <c r="H63" s="7">
        <f>IFERROR(_xlfn.PERCENTRANK.INC('Master Data'!$H$5:$H$204,'Master Data'!$H63),0)</f>
        <v>0.774</v>
      </c>
      <c r="I63" s="7">
        <f>IFERROR(_xlfn.PERCENTRANK.INC('Master Data'!$I$5:$I$204,'Master Data'!$I63),0)</f>
        <v>0.648</v>
      </c>
      <c r="J63" s="7">
        <f>IFERROR(1-_xlfn.PERCENTRANK.INC('Master Data'!$J$5:$J$204,'Master Data'!$J63),0)</f>
        <v>0.819</v>
      </c>
      <c r="K63" s="7">
        <f>IFERROR(1-_xlfn.PERCENTRANK.INC('Master Data'!$K$5:$K$204,'Master Data'!$K63),0)</f>
        <v>0.729</v>
      </c>
      <c r="L63" s="7">
        <f>IFERROR(_xlfn.PERCENTRANK.INC('Master Data'!$L$5:$L$204,'Master Data'!$L63),0)</f>
        <v>0.794</v>
      </c>
      <c r="M63" s="7">
        <f>IFERROR(1-_xlfn.PERCENTRANK.INC('Master Data'!$M$5:$M$204,'Master Data'!$M63),0)</f>
        <v>0.764</v>
      </c>
      <c r="N63" s="7">
        <f>IFERROR(1-_xlfn.PERCENTRANK.INC('Master Data'!$N$5:$N$204,'Master Data'!$N63),0)</f>
        <v>0.04</v>
      </c>
      <c r="O63" s="7">
        <f>IFERROR(1-_xlfn.PERCENTRANK.INC('Master Data'!$O$5:$O$204,'Master Data'!$O63),0)</f>
        <v>0.824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" t="s">
        <v>156</v>
      </c>
      <c r="C64" s="7">
        <f>IFERROR(_xlfn.PERCENTRANK.INC('Master Data'!$C$5:$C$204,'Master Data'!$C64),0)</f>
        <v>0.709</v>
      </c>
      <c r="D64" s="7">
        <f>IFERROR(_xlfn.PERCENTRANK.INC('Master Data'!$D$5:$D$204,'Master Data'!$D64),0)</f>
        <v>0.673</v>
      </c>
      <c r="E64" s="7">
        <f>IFERROR(_xlfn.PERCENTRANK.INC('Master Data'!$E$5:$E$204,'Master Data'!$E64),0)</f>
        <v>0.889</v>
      </c>
      <c r="F64" s="7">
        <f>IFERROR(_xlfn.PERCENTRANK.INC('Master Data'!$F$5:$F$204,'Master Data'!$F64),0)</f>
        <v>0.171</v>
      </c>
      <c r="G64" s="7">
        <f>IFERROR(_xlfn.PERCENTRANK.INC('Master Data'!$G$5:$G$204,'Master Data'!$G64),0)</f>
        <v>0.337</v>
      </c>
      <c r="H64" s="7">
        <f>IFERROR(_xlfn.PERCENTRANK.INC('Master Data'!$H$5:$H$204,'Master Data'!$H64),0)</f>
        <v>0.141</v>
      </c>
      <c r="I64" s="7">
        <f>IFERROR(_xlfn.PERCENTRANK.INC('Master Data'!$I$5:$I$204,'Master Data'!$I64),0)</f>
        <v>0.075</v>
      </c>
      <c r="J64" s="7">
        <f>IFERROR(1-_xlfn.PERCENTRANK.INC('Master Data'!$J$5:$J$204,'Master Data'!$J64),0)</f>
        <v>0.04</v>
      </c>
      <c r="K64" s="7">
        <f>IFERROR(1-_xlfn.PERCENTRANK.INC('Master Data'!$K$5:$K$204,'Master Data'!$K64),0)</f>
        <v>0.065</v>
      </c>
      <c r="L64" s="7">
        <f>IFERROR(_xlfn.PERCENTRANK.INC('Master Data'!$L$5:$L$204,'Master Data'!$L64),0)</f>
        <v>0.095</v>
      </c>
      <c r="M64" s="7">
        <f>IFERROR(1-_xlfn.PERCENTRANK.INC('Master Data'!$M$5:$M$204,'Master Data'!$M64),0)</f>
        <v>0.729</v>
      </c>
      <c r="N64" s="7">
        <f>IFERROR(1-_xlfn.PERCENTRANK.INC('Master Data'!$N$5:$N$204,'Master Data'!$N64),0)</f>
        <v>0.357</v>
      </c>
      <c r="O64" s="7">
        <f>IFERROR(1-_xlfn.PERCENTRANK.INC('Master Data'!$O$5:$O$204,'Master Data'!$O64),0)</f>
        <v>0.92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6" t="s">
        <v>191</v>
      </c>
      <c r="C65" s="7">
        <f>IFERROR(_xlfn.PERCENTRANK.INC('Master Data'!$C$5:$C$204,'Master Data'!$C65),0)</f>
        <v>0.477</v>
      </c>
      <c r="D65" s="7">
        <f>IFERROR(_xlfn.PERCENTRANK.INC('Master Data'!$D$5:$D$204,'Master Data'!$D65),0)</f>
        <v>0.05</v>
      </c>
      <c r="E65" s="7">
        <f>IFERROR(_xlfn.PERCENTRANK.INC('Master Data'!$E$5:$E$204,'Master Data'!$E65),0)</f>
        <v>0.04</v>
      </c>
      <c r="F65" s="7">
        <f>IFERROR(_xlfn.PERCENTRANK.INC('Master Data'!$F$5:$F$204,'Master Data'!$F65),0)</f>
        <v>0.05</v>
      </c>
      <c r="G65" s="7">
        <f>IFERROR(_xlfn.PERCENTRANK.INC('Master Data'!$G$5:$G$204,'Master Data'!$G65),0)</f>
        <v>0.075</v>
      </c>
      <c r="H65" s="7">
        <f>IFERROR(_xlfn.PERCENTRANK.INC('Master Data'!$H$5:$H$204,'Master Data'!$H65),0)</f>
        <v>0.126</v>
      </c>
      <c r="I65" s="7">
        <f>IFERROR(_xlfn.PERCENTRANK.INC('Master Data'!$I$5:$I$204,'Master Data'!$I65),0)</f>
        <v>0.432</v>
      </c>
      <c r="J65" s="7">
        <f>IFERROR(1-_xlfn.PERCENTRANK.INC('Master Data'!$J$5:$J$204,'Master Data'!$J65),0)</f>
        <v>0.583</v>
      </c>
      <c r="K65" s="7">
        <f>IFERROR(1-_xlfn.PERCENTRANK.INC('Master Data'!$K$5:$K$204,'Master Data'!$K65),0)</f>
        <v>0.201</v>
      </c>
      <c r="L65" s="7">
        <f>IFERROR(_xlfn.PERCENTRANK.INC('Master Data'!$L$5:$L$204,'Master Data'!$L65),0)</f>
        <v>0.201</v>
      </c>
      <c r="M65" s="7">
        <f>IFERROR(1-_xlfn.PERCENTRANK.INC('Master Data'!$M$5:$M$204,'Master Data'!$M65),0)</f>
        <v>0.035</v>
      </c>
      <c r="N65" s="7">
        <f>IFERROR(1-_xlfn.PERCENTRANK.INC('Master Data'!$N$5:$N$204,'Master Data'!$N65),0)</f>
        <v>0.94</v>
      </c>
      <c r="O65" s="7">
        <f>IFERROR(1-_xlfn.PERCENTRANK.INC('Master Data'!$O$5:$O$204,'Master Data'!$O65),0)</f>
        <v>0.492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" t="s">
        <v>136</v>
      </c>
      <c r="C66" s="7">
        <f>IFERROR(_xlfn.PERCENTRANK.INC('Master Data'!$C$5:$C$204,'Master Data'!$C66),0)</f>
        <v>0.03</v>
      </c>
      <c r="D66" s="7">
        <f>IFERROR(_xlfn.PERCENTRANK.INC('Master Data'!$D$5:$D$204,'Master Data'!$D66),0)</f>
        <v>0.05</v>
      </c>
      <c r="E66" s="7">
        <f>IFERROR(_xlfn.PERCENTRANK.INC('Master Data'!$E$5:$E$204,'Master Data'!$E66),0)</f>
        <v>0.04</v>
      </c>
      <c r="F66" s="7">
        <f>IFERROR(_xlfn.PERCENTRANK.INC('Master Data'!$F$5:$F$204,'Master Data'!$F66),0)</f>
        <v>0.07</v>
      </c>
      <c r="G66" s="7">
        <f>IFERROR(_xlfn.PERCENTRANK.INC('Master Data'!$G$5:$G$204,'Master Data'!$G66),0)</f>
        <v>0.121</v>
      </c>
      <c r="H66" s="7">
        <f>IFERROR(_xlfn.PERCENTRANK.INC('Master Data'!$H$5:$H$204,'Master Data'!$H66),0)</f>
        <v>0.302</v>
      </c>
      <c r="I66" s="7">
        <f>IFERROR(_xlfn.PERCENTRANK.INC('Master Data'!$I$5:$I$204,'Master Data'!$I66),0)</f>
        <v>0.97</v>
      </c>
      <c r="J66" s="7">
        <f>IFERROR(1-_xlfn.PERCENTRANK.INC('Master Data'!$J$5:$J$204,'Master Data'!$J66),0)</f>
        <v>0.724</v>
      </c>
      <c r="K66" s="7">
        <f>IFERROR(1-_xlfn.PERCENTRANK.INC('Master Data'!$K$5:$K$204,'Master Data'!$K66),0)</f>
        <v>0.965</v>
      </c>
      <c r="L66" s="7">
        <f>IFERROR(_xlfn.PERCENTRANK.INC('Master Data'!$L$5:$L$204,'Master Data'!$L66),0)</f>
        <v>0.407</v>
      </c>
      <c r="M66" s="7">
        <f>IFERROR(1-_xlfn.PERCENTRANK.INC('Master Data'!$M$5:$M$204,'Master Data'!$M66),0)</f>
        <v>0.995</v>
      </c>
      <c r="N66" s="7">
        <f>IFERROR(1-_xlfn.PERCENTRANK.INC('Master Data'!$N$5:$N$204,'Master Data'!$N66),0)</f>
        <v>0.97</v>
      </c>
      <c r="O66" s="7">
        <f>IFERROR(1-_xlfn.PERCENTRANK.INC('Master Data'!$O$5:$O$204,'Master Data'!$O66),0)</f>
        <v>0.035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6" t="s">
        <v>27</v>
      </c>
      <c r="C67" s="7">
        <f>IFERROR(_xlfn.PERCENTRANK.INC('Master Data'!$C$5:$C$204,'Master Data'!$C67),0)</f>
        <v>0.568</v>
      </c>
      <c r="D67" s="7">
        <f>IFERROR(_xlfn.PERCENTRANK.INC('Master Data'!$D$5:$D$204,'Master Data'!$D67),0)</f>
        <v>0.628</v>
      </c>
      <c r="E67" s="7">
        <f>IFERROR(_xlfn.PERCENTRANK.INC('Master Data'!$E$5:$E$204,'Master Data'!$E67),0)</f>
        <v>0.744</v>
      </c>
      <c r="F67" s="7">
        <f>IFERROR(_xlfn.PERCENTRANK.INC('Master Data'!$F$5:$F$204,'Master Data'!$F67),0)</f>
        <v>0.568</v>
      </c>
      <c r="G67" s="7">
        <f>IFERROR(_xlfn.PERCENTRANK.INC('Master Data'!$G$5:$G$204,'Master Data'!$G67),0)</f>
        <v>0.462</v>
      </c>
      <c r="H67" s="7">
        <f>IFERROR(_xlfn.PERCENTRANK.INC('Master Data'!$H$5:$H$204,'Master Data'!$H67),0)</f>
        <v>0.643</v>
      </c>
      <c r="I67" s="7">
        <f>IFERROR(_xlfn.PERCENTRANK.INC('Master Data'!$I$5:$I$204,'Master Data'!$I67),0)</f>
        <v>0.769</v>
      </c>
      <c r="J67" s="7">
        <f>IFERROR(1-_xlfn.PERCENTRANK.INC('Master Data'!$J$5:$J$204,'Master Data'!$J67),0)</f>
        <v>0.548</v>
      </c>
      <c r="K67" s="7">
        <f>IFERROR(1-_xlfn.PERCENTRANK.INC('Master Data'!$K$5:$K$204,'Master Data'!$K67),0)</f>
        <v>0.508</v>
      </c>
      <c r="L67" s="7">
        <f>IFERROR(_xlfn.PERCENTRANK.INC('Master Data'!$L$5:$L$204,'Master Data'!$L67),0)</f>
        <v>0.673</v>
      </c>
      <c r="M67" s="7">
        <f>IFERROR(1-_xlfn.PERCENTRANK.INC('Master Data'!$M$5:$M$204,'Master Data'!$M67),0)</f>
        <v>0.915</v>
      </c>
      <c r="N67" s="7">
        <f>IFERROR(1-_xlfn.PERCENTRANK.INC('Master Data'!$N$5:$N$204,'Master Data'!$N67),0)</f>
        <v>0.603</v>
      </c>
      <c r="O67" s="7">
        <f>IFERROR(1-_xlfn.PERCENTRANK.INC('Master Data'!$O$5:$O$204,'Master Data'!$O67),0)</f>
        <v>0.874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6" t="s">
        <v>104</v>
      </c>
      <c r="C68" s="7">
        <f>IFERROR(_xlfn.PERCENTRANK.INC('Master Data'!$C$5:$C$204,'Master Data'!$C68),0)</f>
        <v>0.221</v>
      </c>
      <c r="D68" s="7">
        <f>IFERROR(_xlfn.PERCENTRANK.INC('Master Data'!$D$5:$D$204,'Master Data'!$D68),0)</f>
        <v>0.231</v>
      </c>
      <c r="E68" s="7">
        <f>IFERROR(_xlfn.PERCENTRANK.INC('Master Data'!$E$5:$E$204,'Master Data'!$E68),0)</f>
        <v>0.286</v>
      </c>
      <c r="F68" s="7">
        <f>IFERROR(_xlfn.PERCENTRANK.INC('Master Data'!$F$5:$F$204,'Master Data'!$F68),0)</f>
        <v>0.508</v>
      </c>
      <c r="G68" s="7">
        <f>IFERROR(_xlfn.PERCENTRANK.INC('Master Data'!$G$5:$G$204,'Master Data'!$G68),0)</f>
        <v>0.432</v>
      </c>
      <c r="H68" s="7">
        <f>IFERROR(_xlfn.PERCENTRANK.INC('Master Data'!$H$5:$H$204,'Master Data'!$H68),0)</f>
        <v>0.683</v>
      </c>
      <c r="I68" s="7">
        <f>IFERROR(_xlfn.PERCENTRANK.INC('Master Data'!$I$5:$I$204,'Master Data'!$I68),0)</f>
        <v>0.653</v>
      </c>
      <c r="J68" s="7">
        <f>IFERROR(1-_xlfn.PERCENTRANK.INC('Master Data'!$J$5:$J$204,'Master Data'!$J68),0)</f>
        <v>0.513</v>
      </c>
      <c r="K68" s="7">
        <f>IFERROR(1-_xlfn.PERCENTRANK.INC('Master Data'!$K$5:$K$204,'Master Data'!$K68),0)</f>
        <v>0.422</v>
      </c>
      <c r="L68" s="7">
        <f>IFERROR(_xlfn.PERCENTRANK.INC('Master Data'!$L$5:$L$204,'Master Data'!$L68),0)</f>
        <v>0.548</v>
      </c>
      <c r="M68" s="7">
        <f>IFERROR(1-_xlfn.PERCENTRANK.INC('Master Data'!$M$5:$M$204,'Master Data'!$M68),0)</f>
        <v>0.668</v>
      </c>
      <c r="N68" s="7">
        <f>IFERROR(1-_xlfn.PERCENTRANK.INC('Master Data'!$N$5:$N$204,'Master Data'!$N68),0)</f>
        <v>0.764</v>
      </c>
      <c r="O68" s="7">
        <f>IFERROR(1-_xlfn.PERCENTRANK.INC('Master Data'!$O$5:$O$204,'Master Data'!$O68),0)</f>
        <v>0.869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" t="s">
        <v>200</v>
      </c>
      <c r="C69" s="7">
        <f>IFERROR(_xlfn.PERCENTRANK.INC('Master Data'!$C$5:$C$204,'Master Data'!$C69),0)</f>
        <v>0.131</v>
      </c>
      <c r="D69" s="7">
        <f>IFERROR(_xlfn.PERCENTRANK.INC('Master Data'!$D$5:$D$204,'Master Data'!$D69),0)</f>
        <v>0.015</v>
      </c>
      <c r="E69" s="7">
        <f>IFERROR(_xlfn.PERCENTRANK.INC('Master Data'!$E$5:$E$204,'Master Data'!$E69),0)</f>
        <v>0</v>
      </c>
      <c r="F69" s="7">
        <f>IFERROR(_xlfn.PERCENTRANK.INC('Master Data'!$F$5:$F$204,'Master Data'!$F69),0)</f>
        <v>0.02</v>
      </c>
      <c r="G69" s="7">
        <f>IFERROR(_xlfn.PERCENTRANK.INC('Master Data'!$G$5:$G$204,'Master Data'!$G69),0)</f>
        <v>0.02</v>
      </c>
      <c r="H69" s="7">
        <f>IFERROR(_xlfn.PERCENTRANK.INC('Master Data'!$H$5:$H$204,'Master Data'!$H69),0)</f>
        <v>0.03</v>
      </c>
      <c r="I69" s="7">
        <f>IFERROR(_xlfn.PERCENTRANK.INC('Master Data'!$I$5:$I$204,'Master Data'!$I69),0)</f>
        <v>0.226</v>
      </c>
      <c r="J69" s="7">
        <f>IFERROR(1-_xlfn.PERCENTRANK.INC('Master Data'!$J$5:$J$204,'Master Data'!$J69),0)</f>
        <v>0.387</v>
      </c>
      <c r="K69" s="7">
        <f>IFERROR(1-_xlfn.PERCENTRANK.INC('Master Data'!$K$5:$K$204,'Master Data'!$K69),0)</f>
        <v>0.99</v>
      </c>
      <c r="L69" s="7">
        <f>IFERROR(_xlfn.PERCENTRANK.INC('Master Data'!$L$5:$L$204,'Master Data'!$L69),0)</f>
        <v>0.015</v>
      </c>
      <c r="M69" s="7">
        <f>IFERROR(1-_xlfn.PERCENTRANK.INC('Master Data'!$M$5:$M$204,'Master Data'!$M69),0)</f>
        <v>0.075</v>
      </c>
      <c r="N69" s="7">
        <f>IFERROR(1-_xlfn.PERCENTRANK.INC('Master Data'!$N$5:$N$204,'Master Data'!$N69),0)</f>
        <v>0.171</v>
      </c>
      <c r="O69" s="7">
        <f>IFERROR(1-_xlfn.PERCENTRANK.INC('Master Data'!$O$5:$O$204,'Master Data'!$O69),0)</f>
        <v>0.91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6" t="s">
        <v>48</v>
      </c>
      <c r="C70" s="7">
        <f>IFERROR(_xlfn.PERCENTRANK.INC('Master Data'!$C$5:$C$204,'Master Data'!$C70),0)</f>
        <v>0.497</v>
      </c>
      <c r="D70" s="7">
        <f>IFERROR(_xlfn.PERCENTRANK.INC('Master Data'!$D$5:$D$204,'Master Data'!$D70),0)</f>
        <v>0.683</v>
      </c>
      <c r="E70" s="7">
        <f>IFERROR(_xlfn.PERCENTRANK.INC('Master Data'!$E$5:$E$204,'Master Data'!$E70),0)</f>
        <v>0.789</v>
      </c>
      <c r="F70" s="7">
        <f>IFERROR(_xlfn.PERCENTRANK.INC('Master Data'!$F$5:$F$204,'Master Data'!$F70),0)</f>
        <v>0.709</v>
      </c>
      <c r="G70" s="7">
        <f>IFERROR(_xlfn.PERCENTRANK.INC('Master Data'!$G$5:$G$204,'Master Data'!$G70),0)</f>
        <v>0.623</v>
      </c>
      <c r="H70" s="7">
        <f>IFERROR(_xlfn.PERCENTRANK.INC('Master Data'!$H$5:$H$204,'Master Data'!$H70),0)</f>
        <v>0.789</v>
      </c>
      <c r="I70" s="7">
        <f>IFERROR(_xlfn.PERCENTRANK.INC('Master Data'!$I$5:$I$204,'Master Data'!$I70),0)</f>
        <v>0.653</v>
      </c>
      <c r="J70" s="7">
        <f>IFERROR(1-_xlfn.PERCENTRANK.INC('Master Data'!$J$5:$J$204,'Master Data'!$J70),0)</f>
        <v>0.653</v>
      </c>
      <c r="K70" s="7">
        <f>IFERROR(1-_xlfn.PERCENTRANK.INC('Master Data'!$K$5:$K$204,'Master Data'!$K70),0)</f>
        <v>0.633</v>
      </c>
      <c r="L70" s="7">
        <f>IFERROR(_xlfn.PERCENTRANK.INC('Master Data'!$L$5:$L$204,'Master Data'!$L70),0)</f>
        <v>0.799</v>
      </c>
      <c r="M70" s="7">
        <f>IFERROR(1-_xlfn.PERCENTRANK.INC('Master Data'!$M$5:$M$204,'Master Data'!$M70),0)</f>
        <v>0.462</v>
      </c>
      <c r="N70" s="7">
        <f>IFERROR(1-_xlfn.PERCENTRANK.INC('Master Data'!$N$5:$N$204,'Master Data'!$N70),0)</f>
        <v>0.307</v>
      </c>
      <c r="O70" s="7">
        <f>IFERROR(1-_xlfn.PERCENTRANK.INC('Master Data'!$O$5:$O$204,'Master Data'!$O70),0)</f>
        <v>0.352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" t="s">
        <v>103</v>
      </c>
      <c r="C71" s="7">
        <f>IFERROR(_xlfn.PERCENTRANK.INC('Master Data'!$C$5:$C$204,'Master Data'!$C71),0)</f>
        <v>0.337</v>
      </c>
      <c r="D71" s="7">
        <f>IFERROR(_xlfn.PERCENTRANK.INC('Master Data'!$D$5:$D$204,'Master Data'!$D71),0)</f>
        <v>0.397</v>
      </c>
      <c r="E71" s="7">
        <f>IFERROR(_xlfn.PERCENTRANK.INC('Master Data'!$E$5:$E$204,'Master Data'!$E71),0)</f>
        <v>0.372</v>
      </c>
      <c r="F71" s="7">
        <f>IFERROR(_xlfn.PERCENTRANK.INC('Master Data'!$F$5:$F$204,'Master Data'!$F71),0)</f>
        <v>0.774</v>
      </c>
      <c r="G71" s="7">
        <f>IFERROR(_xlfn.PERCENTRANK.INC('Master Data'!$G$5:$G$204,'Master Data'!$G71),0)</f>
        <v>0.774</v>
      </c>
      <c r="H71" s="7">
        <f>IFERROR(_xlfn.PERCENTRANK.INC('Master Data'!$H$5:$H$204,'Master Data'!$H71),0)</f>
        <v>0.849</v>
      </c>
      <c r="I71" s="7">
        <f>IFERROR(_xlfn.PERCENTRANK.INC('Master Data'!$I$5:$I$204,'Master Data'!$I71),0)</f>
        <v>0.568</v>
      </c>
      <c r="J71" s="7">
        <f>IFERROR(1-_xlfn.PERCENTRANK.INC('Master Data'!$J$5:$J$204,'Master Data'!$J71),0)</f>
        <v>0.648</v>
      </c>
      <c r="K71" s="7">
        <f>IFERROR(1-_xlfn.PERCENTRANK.INC('Master Data'!$K$5:$K$204,'Master Data'!$K71),0)</f>
        <v>0.638</v>
      </c>
      <c r="L71" s="7">
        <f>IFERROR(_xlfn.PERCENTRANK.INC('Master Data'!$L$5:$L$204,'Master Data'!$L71),0)</f>
        <v>0.809</v>
      </c>
      <c r="M71" s="7">
        <f>IFERROR(1-_xlfn.PERCENTRANK.INC('Master Data'!$M$5:$M$204,'Master Data'!$M71),0)</f>
        <v>0.206</v>
      </c>
      <c r="N71" s="7">
        <f>IFERROR(1-_xlfn.PERCENTRANK.INC('Master Data'!$N$5:$N$204,'Master Data'!$N71),0)</f>
        <v>0.482</v>
      </c>
      <c r="O71" s="7">
        <f>IFERROR(1-_xlfn.PERCENTRANK.INC('Master Data'!$O$5:$O$204,'Master Data'!$O71),0)</f>
        <v>0.151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" t="s">
        <v>63</v>
      </c>
      <c r="C72" s="7">
        <f>IFERROR(_xlfn.PERCENTRANK.INC('Master Data'!$C$5:$C$204,'Master Data'!$C72),0)</f>
        <v>0.889</v>
      </c>
      <c r="D72" s="7">
        <f>IFERROR(_xlfn.PERCENTRANK.INC('Master Data'!$D$5:$D$204,'Master Data'!$D72),0)</f>
        <v>0.97</v>
      </c>
      <c r="E72" s="7">
        <f>IFERROR(_xlfn.PERCENTRANK.INC('Master Data'!$E$5:$E$204,'Master Data'!$E72),0)</f>
        <v>0.995</v>
      </c>
      <c r="F72" s="7">
        <f>IFERROR(_xlfn.PERCENTRANK.INC('Master Data'!$F$5:$F$204,'Master Data'!$F72),0)</f>
        <v>0.196</v>
      </c>
      <c r="G72" s="7">
        <f>IFERROR(_xlfn.PERCENTRANK.INC('Master Data'!$G$5:$G$204,'Master Data'!$G72),0)</f>
        <v>0.191</v>
      </c>
      <c r="H72" s="7">
        <f>IFERROR(_xlfn.PERCENTRANK.INC('Master Data'!$H$5:$H$204,'Master Data'!$H72),0)</f>
        <v>0.271</v>
      </c>
      <c r="I72" s="7">
        <f>IFERROR(_xlfn.PERCENTRANK.INC('Master Data'!$I$5:$I$204,'Master Data'!$I72),0)</f>
        <v>0.131</v>
      </c>
      <c r="J72" s="7">
        <f>IFERROR(1-_xlfn.PERCENTRANK.INC('Master Data'!$J$5:$J$204,'Master Data'!$J72),0)</f>
        <v>0.231</v>
      </c>
      <c r="K72" s="7">
        <f>IFERROR(1-_xlfn.PERCENTRANK.INC('Master Data'!$K$5:$K$204,'Master Data'!$K72),0)</f>
        <v>0.98</v>
      </c>
      <c r="L72" s="7">
        <f>IFERROR(_xlfn.PERCENTRANK.INC('Master Data'!$L$5:$L$204,'Master Data'!$L72),0)</f>
        <v>0.266</v>
      </c>
      <c r="M72" s="7">
        <f>IFERROR(1-_xlfn.PERCENTRANK.INC('Master Data'!$M$5:$M$204,'Master Data'!$M72),0)</f>
        <v>0.985</v>
      </c>
      <c r="N72" s="7">
        <f>IFERROR(1-_xlfn.PERCENTRANK.INC('Master Data'!$N$5:$N$204,'Master Data'!$N72),0)</f>
        <v>0.447</v>
      </c>
      <c r="O72" s="7">
        <f>IFERROR(1-_xlfn.PERCENTRANK.INC('Master Data'!$O$5:$O$204,'Master Data'!$O72),0)</f>
        <v>0.683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" t="s">
        <v>174</v>
      </c>
      <c r="C73" s="7">
        <f>IFERROR(_xlfn.PERCENTRANK.INC('Master Data'!$C$5:$C$204,'Master Data'!$C73),0)</f>
        <v>0.739</v>
      </c>
      <c r="D73" s="7">
        <f>IFERROR(_xlfn.PERCENTRANK.INC('Master Data'!$D$5:$D$204,'Master Data'!$D73),0)</f>
        <v>0.025</v>
      </c>
      <c r="E73" s="7">
        <f>IFERROR(_xlfn.PERCENTRANK.INC('Master Data'!$E$5:$E$204,'Master Data'!$E73),0)</f>
        <v>0.005</v>
      </c>
      <c r="F73" s="7">
        <f>IFERROR(_xlfn.PERCENTRANK.INC('Master Data'!$F$5:$F$204,'Master Data'!$F73),0)</f>
        <v>0.121</v>
      </c>
      <c r="G73" s="7">
        <f>IFERROR(_xlfn.PERCENTRANK.INC('Master Data'!$G$5:$G$204,'Master Data'!$G73),0)</f>
        <v>0.131</v>
      </c>
      <c r="H73" s="7">
        <f>IFERROR(_xlfn.PERCENTRANK.INC('Master Data'!$H$5:$H$204,'Master Data'!$H73),0)</f>
        <v>0.291</v>
      </c>
      <c r="I73" s="7">
        <f>IFERROR(_xlfn.PERCENTRANK.INC('Master Data'!$I$5:$I$204,'Master Data'!$I73),0)</f>
        <v>0.312</v>
      </c>
      <c r="J73" s="7">
        <f>IFERROR(1-_xlfn.PERCENTRANK.INC('Master Data'!$J$5:$J$204,'Master Data'!$J73),0)</f>
        <v>0.598</v>
      </c>
      <c r="K73" s="7">
        <f>IFERROR(1-_xlfn.PERCENTRANK.INC('Master Data'!$K$5:$K$204,'Master Data'!$K73),0)</f>
        <v>0.337</v>
      </c>
      <c r="L73" s="7">
        <f>IFERROR(_xlfn.PERCENTRANK.INC('Master Data'!$L$5:$L$204,'Master Data'!$L73),0)</f>
        <v>0.508</v>
      </c>
      <c r="M73" s="7">
        <f>IFERROR(1-_xlfn.PERCENTRANK.INC('Master Data'!$M$5:$M$204,'Master Data'!$M73),0)</f>
        <v>0.05</v>
      </c>
      <c r="N73" s="7">
        <f>IFERROR(1-_xlfn.PERCENTRANK.INC('Master Data'!$N$5:$N$204,'Master Data'!$N73),0)</f>
        <v>0.935</v>
      </c>
      <c r="O73" s="7">
        <f>IFERROR(1-_xlfn.PERCENTRANK.INC('Master Data'!$O$5:$O$204,'Master Data'!$O73),0)</f>
        <v>0.729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" t="s">
        <v>70</v>
      </c>
      <c r="C74" s="7">
        <f>IFERROR(_xlfn.PERCENTRANK.INC('Master Data'!$C$5:$C$204,'Master Data'!$C74),0)</f>
        <v>0.814</v>
      </c>
      <c r="D74" s="7">
        <f>IFERROR(_xlfn.PERCENTRANK.INC('Master Data'!$D$5:$D$204,'Master Data'!$D74),0)</f>
        <v>0.528</v>
      </c>
      <c r="E74" s="7">
        <f>IFERROR(_xlfn.PERCENTRANK.INC('Master Data'!$E$5:$E$204,'Master Data'!$E74),0)</f>
        <v>0.412</v>
      </c>
      <c r="F74" s="7">
        <f>IFERROR(_xlfn.PERCENTRANK.INC('Master Data'!$F$5:$F$204,'Master Data'!$F74),0)</f>
        <v>0.789</v>
      </c>
      <c r="G74" s="7">
        <f>IFERROR(_xlfn.PERCENTRANK.INC('Master Data'!$G$5:$G$204,'Master Data'!$G74),0)</f>
        <v>0.729</v>
      </c>
      <c r="H74" s="7">
        <f>IFERROR(_xlfn.PERCENTRANK.INC('Master Data'!$H$5:$H$204,'Master Data'!$H74),0)</f>
        <v>0.754</v>
      </c>
      <c r="I74" s="7">
        <f>IFERROR(_xlfn.PERCENTRANK.INC('Master Data'!$I$5:$I$204,'Master Data'!$I74),0)</f>
        <v>0.915</v>
      </c>
      <c r="J74" s="7">
        <f>IFERROR(1-_xlfn.PERCENTRANK.INC('Master Data'!$J$5:$J$204,'Master Data'!$J74),0)</f>
        <v>0.759</v>
      </c>
      <c r="K74" s="7">
        <f>IFERROR(1-_xlfn.PERCENTRANK.INC('Master Data'!$K$5:$K$204,'Master Data'!$K74),0)</f>
        <v>0.709</v>
      </c>
      <c r="L74" s="7">
        <f>IFERROR(_xlfn.PERCENTRANK.INC('Master Data'!$L$5:$L$204,'Master Data'!$L74),0)</f>
        <v>0.643</v>
      </c>
      <c r="M74" s="7">
        <f>IFERROR(1-_xlfn.PERCENTRANK.INC('Master Data'!$M$5:$M$204,'Master Data'!$M74),0)</f>
        <v>0.327</v>
      </c>
      <c r="N74" s="7">
        <f>IFERROR(1-_xlfn.PERCENTRANK.INC('Master Data'!$N$5:$N$204,'Master Data'!$N74),0)</f>
        <v>0.141</v>
      </c>
      <c r="O74" s="7">
        <f>IFERROR(1-_xlfn.PERCENTRANK.INC('Master Data'!$O$5:$O$204,'Master Data'!$O74),0)</f>
        <v>0.231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6" t="s">
        <v>25</v>
      </c>
      <c r="C75" s="7">
        <f>IFERROR(_xlfn.PERCENTRANK.INC('Master Data'!$C$5:$C$204,'Master Data'!$C75),0)</f>
        <v>0.784</v>
      </c>
      <c r="D75" s="7">
        <f>IFERROR(_xlfn.PERCENTRANK.INC('Master Data'!$D$5:$D$204,'Master Data'!$D75),0)</f>
        <v>0.653</v>
      </c>
      <c r="E75" s="7">
        <f>IFERROR(_xlfn.PERCENTRANK.INC('Master Data'!$E$5:$E$204,'Master Data'!$E75),0)</f>
        <v>0.492</v>
      </c>
      <c r="F75" s="7">
        <f>IFERROR(_xlfn.PERCENTRANK.INC('Master Data'!$F$5:$F$204,'Master Data'!$F75),0)</f>
        <v>0.894</v>
      </c>
      <c r="G75" s="7">
        <f>IFERROR(_xlfn.PERCENTRANK.INC('Master Data'!$G$5:$G$204,'Master Data'!$G75),0)</f>
        <v>0.894</v>
      </c>
      <c r="H75" s="7">
        <f>IFERROR(_xlfn.PERCENTRANK.INC('Master Data'!$H$5:$H$204,'Master Data'!$H75),0)</f>
        <v>0.935</v>
      </c>
      <c r="I75" s="7">
        <f>IFERROR(_xlfn.PERCENTRANK.INC('Master Data'!$I$5:$I$204,'Master Data'!$I75),0)</f>
        <v>0.794</v>
      </c>
      <c r="J75" s="7">
        <f>IFERROR(1-_xlfn.PERCENTRANK.INC('Master Data'!$J$5:$J$204,'Master Data'!$J75),0)</f>
        <v>0.854</v>
      </c>
      <c r="K75" s="7">
        <f>IFERROR(1-_xlfn.PERCENTRANK.INC('Master Data'!$K$5:$K$204,'Master Data'!$K75),0)</f>
        <v>0.839</v>
      </c>
      <c r="L75" s="7">
        <f>IFERROR(_xlfn.PERCENTRANK.INC('Master Data'!$L$5:$L$204,'Master Data'!$L75),0)</f>
        <v>0.869</v>
      </c>
      <c r="M75" s="7">
        <f>IFERROR(1-_xlfn.PERCENTRANK.INC('Master Data'!$M$5:$M$204,'Master Data'!$M75),0)</f>
        <v>0.553</v>
      </c>
      <c r="N75" s="7">
        <f>IFERROR(1-_xlfn.PERCENTRANK.INC('Master Data'!$N$5:$N$204,'Master Data'!$N75),0)</f>
        <v>0.08</v>
      </c>
      <c r="O75" s="7">
        <f>IFERROR(1-_xlfn.PERCENTRANK.INC('Master Data'!$O$5:$O$204,'Master Data'!$O75),0)</f>
        <v>0.191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" t="s">
        <v>14</v>
      </c>
      <c r="C76" s="7">
        <f>IFERROR(_xlfn.PERCENTRANK.INC('Master Data'!$C$5:$C$204,'Master Data'!$C76),0)</f>
        <v>0.573</v>
      </c>
      <c r="D76" s="7">
        <f>IFERROR(_xlfn.PERCENTRANK.INC('Master Data'!$D$5:$D$204,'Master Data'!$D76),0)</f>
        <v>0.789</v>
      </c>
      <c r="E76" s="7">
        <f>IFERROR(_xlfn.PERCENTRANK.INC('Master Data'!$E$5:$E$204,'Master Data'!$E76),0)</f>
        <v>0.749</v>
      </c>
      <c r="F76" s="7">
        <f>IFERROR(_xlfn.PERCENTRANK.INC('Master Data'!$F$5:$F$204,'Master Data'!$F76),0)</f>
        <v>0.935</v>
      </c>
      <c r="G76" s="7">
        <f>IFERROR(_xlfn.PERCENTRANK.INC('Master Data'!$G$5:$G$204,'Master Data'!$G76),0)</f>
        <v>0.915</v>
      </c>
      <c r="H76" s="7">
        <f>IFERROR(_xlfn.PERCENTRANK.INC('Master Data'!$H$5:$H$204,'Master Data'!$H76),0)</f>
        <v>0.98</v>
      </c>
      <c r="I76" s="7">
        <f>IFERROR(_xlfn.PERCENTRANK.INC('Master Data'!$I$5:$I$204,'Master Data'!$I76),0)</f>
        <v>0.377</v>
      </c>
      <c r="J76" s="7">
        <f>IFERROR(1-_xlfn.PERCENTRANK.INC('Master Data'!$J$5:$J$204,'Master Data'!$J76),0)</f>
        <v>0.99</v>
      </c>
      <c r="K76" s="7">
        <f>IFERROR(1-_xlfn.PERCENTRANK.INC('Master Data'!$K$5:$K$204,'Master Data'!$K76),0)</f>
        <v>0.925</v>
      </c>
      <c r="L76" s="7">
        <f>IFERROR(_xlfn.PERCENTRANK.INC('Master Data'!$L$5:$L$204,'Master Data'!$L76),0)</f>
        <v>0.884</v>
      </c>
      <c r="M76" s="7">
        <f>IFERROR(1-_xlfn.PERCENTRANK.INC('Master Data'!$M$5:$M$204,'Master Data'!$M76),0)</f>
        <v>0.528</v>
      </c>
      <c r="N76" s="7">
        <f>IFERROR(1-_xlfn.PERCENTRANK.INC('Master Data'!$N$5:$N$204,'Master Data'!$N76),0)</f>
        <v>0.392</v>
      </c>
      <c r="O76" s="7">
        <f>IFERROR(1-_xlfn.PERCENTRANK.INC('Master Data'!$O$5:$O$204,'Master Data'!$O76),0)</f>
        <v>0.261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" t="s">
        <v>138</v>
      </c>
      <c r="C77" s="7">
        <f>IFERROR(_xlfn.PERCENTRANK.INC('Master Data'!$C$5:$C$204,'Master Data'!$C77),0)</f>
        <v>0.874</v>
      </c>
      <c r="D77" s="7">
        <f>IFERROR(_xlfn.PERCENTRANK.INC('Master Data'!$D$5:$D$204,'Master Data'!$D77),0)</f>
        <v>0.824</v>
      </c>
      <c r="E77" s="7">
        <f>IFERROR(_xlfn.PERCENTRANK.INC('Master Data'!$E$5:$E$204,'Master Data'!$E77),0)</f>
        <v>0.764</v>
      </c>
      <c r="F77" s="7">
        <f>IFERROR(_xlfn.PERCENTRANK.INC('Master Data'!$F$5:$F$204,'Master Data'!$F77),0)</f>
        <v>0.186</v>
      </c>
      <c r="G77" s="7">
        <f>IFERROR(_xlfn.PERCENTRANK.INC('Master Data'!$G$5:$G$204,'Master Data'!$G77),0)</f>
        <v>0.588</v>
      </c>
      <c r="H77" s="7">
        <f>IFERROR(_xlfn.PERCENTRANK.INC('Master Data'!$H$5:$H$204,'Master Data'!$H77),0)</f>
        <v>0.196</v>
      </c>
      <c r="I77" s="7">
        <f>IFERROR(_xlfn.PERCENTRANK.INC('Master Data'!$I$5:$I$204,'Master Data'!$I77),0)</f>
        <v>0.075</v>
      </c>
      <c r="J77" s="7">
        <f>IFERROR(1-_xlfn.PERCENTRANK.INC('Master Data'!$J$5:$J$204,'Master Data'!$J77),0)</f>
        <v>0.075</v>
      </c>
      <c r="K77" s="7">
        <f>IFERROR(1-_xlfn.PERCENTRANK.INC('Master Data'!$K$5:$K$204,'Master Data'!$K77),0)</f>
        <v>0.085</v>
      </c>
      <c r="L77" s="7">
        <f>IFERROR(_xlfn.PERCENTRANK.INC('Master Data'!$L$5:$L$204,'Master Data'!$L77),0)</f>
        <v>0.186</v>
      </c>
      <c r="M77" s="7">
        <f>IFERROR(1-_xlfn.PERCENTRANK.INC('Master Data'!$M$5:$M$204,'Master Data'!$M77),0)</f>
        <v>0.648</v>
      </c>
      <c r="N77" s="7">
        <f>IFERROR(1-_xlfn.PERCENTRANK.INC('Master Data'!$N$5:$N$204,'Master Data'!$N77),0)</f>
        <v>0.291</v>
      </c>
      <c r="O77" s="7">
        <f>IFERROR(1-_xlfn.PERCENTRANK.INC('Master Data'!$O$5:$O$204,'Master Data'!$O77),0)</f>
        <v>0.764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6" t="s">
        <v>151</v>
      </c>
      <c r="C78" s="7">
        <f>IFERROR(_xlfn.PERCENTRANK.INC('Master Data'!$C$5:$C$204,'Master Data'!$C78),0)</f>
        <v>0.894</v>
      </c>
      <c r="D78" s="7">
        <f>IFERROR(_xlfn.PERCENTRANK.INC('Master Data'!$D$5:$D$204,'Master Data'!$D78),0)</f>
        <v>0.307</v>
      </c>
      <c r="E78" s="7">
        <f>IFERROR(_xlfn.PERCENTRANK.INC('Master Data'!$E$5:$E$204,'Master Data'!$E78),0)</f>
        <v>0.427</v>
      </c>
      <c r="F78" s="7">
        <f>IFERROR(_xlfn.PERCENTRANK.INC('Master Data'!$F$5:$F$204,'Master Data'!$F78),0)</f>
        <v>0.593</v>
      </c>
      <c r="G78" s="7">
        <f>IFERROR(_xlfn.PERCENTRANK.INC('Master Data'!$G$5:$G$204,'Master Data'!$G78),0)</f>
        <v>0.618</v>
      </c>
      <c r="H78" s="7">
        <f>IFERROR(_xlfn.PERCENTRANK.INC('Master Data'!$H$5:$H$204,'Master Data'!$H78),0)</f>
        <v>0.131</v>
      </c>
      <c r="I78" s="7">
        <f>IFERROR(_xlfn.PERCENTRANK.INC('Master Data'!$I$5:$I$204,'Master Data'!$I78),0)</f>
        <v>0.276</v>
      </c>
      <c r="J78" s="7">
        <f>IFERROR(1-_xlfn.PERCENTRANK.INC('Master Data'!$J$5:$J$204,'Master Data'!$J78),0)</f>
        <v>0.658</v>
      </c>
      <c r="K78" s="7">
        <f>IFERROR(1-_xlfn.PERCENTRANK.INC('Master Data'!$K$5:$K$204,'Master Data'!$K78),0)</f>
        <v>0.327</v>
      </c>
      <c r="L78" s="7">
        <f>IFERROR(_xlfn.PERCENTRANK.INC('Master Data'!$L$5:$L$204,'Master Data'!$L78),0)</f>
        <v>0.784</v>
      </c>
      <c r="M78" s="7">
        <f>IFERROR(1-_xlfn.PERCENTRANK.INC('Master Data'!$M$5:$M$204,'Master Data'!$M78),0)</f>
        <v>0.065</v>
      </c>
      <c r="N78" s="7">
        <f>IFERROR(1-_xlfn.PERCENTRANK.INC('Master Data'!$N$5:$N$204,'Master Data'!$N78),0)</f>
        <v>0.106</v>
      </c>
      <c r="O78" s="7">
        <f>IFERROR(1-_xlfn.PERCENTRANK.INC('Master Data'!$O$5:$O$204,'Master Data'!$O78),0)</f>
        <v>0.312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6" t="s">
        <v>21</v>
      </c>
      <c r="C79" s="7">
        <f>IFERROR(_xlfn.PERCENTRANK.INC('Master Data'!$C$5:$C$204,'Master Data'!$C79),0)</f>
        <v>0.186</v>
      </c>
      <c r="D79" s="7">
        <f>IFERROR(_xlfn.PERCENTRANK.INC('Master Data'!$D$5:$D$204,'Master Data'!$D79),0)</f>
        <v>0.236</v>
      </c>
      <c r="E79" s="7">
        <f>IFERROR(_xlfn.PERCENTRANK.INC('Master Data'!$E$5:$E$204,'Master Data'!$E79),0)</f>
        <v>0.337</v>
      </c>
      <c r="F79" s="7">
        <f>IFERROR(_xlfn.PERCENTRANK.INC('Master Data'!$F$5:$F$204,'Master Data'!$F79),0)</f>
        <v>0.879</v>
      </c>
      <c r="G79" s="7">
        <f>IFERROR(_xlfn.PERCENTRANK.INC('Master Data'!$G$5:$G$204,'Master Data'!$G79),0)</f>
        <v>0.864</v>
      </c>
      <c r="H79" s="7">
        <f>IFERROR(_xlfn.PERCENTRANK.INC('Master Data'!$H$5:$H$204,'Master Data'!$H79),0)</f>
        <v>0.889</v>
      </c>
      <c r="I79" s="7">
        <f>IFERROR(_xlfn.PERCENTRANK.INC('Master Data'!$I$5:$I$204,'Master Data'!$I79),0)</f>
        <v>0.884</v>
      </c>
      <c r="J79" s="7">
        <f>IFERROR(1-_xlfn.PERCENTRANK.INC('Master Data'!$J$5:$J$204,'Master Data'!$J79),0)</f>
        <v>0.889</v>
      </c>
      <c r="K79" s="7">
        <f>IFERROR(1-_xlfn.PERCENTRANK.INC('Master Data'!$K$5:$K$204,'Master Data'!$K79),0)</f>
        <v>0.864</v>
      </c>
      <c r="L79" s="7">
        <f>IFERROR(_xlfn.PERCENTRANK.INC('Master Data'!$L$5:$L$204,'Master Data'!$L79),0)</f>
        <v>0.93</v>
      </c>
      <c r="M79" s="7">
        <f>IFERROR(1-_xlfn.PERCENTRANK.INC('Master Data'!$M$5:$M$204,'Master Data'!$M79),0)</f>
        <v>0.834</v>
      </c>
      <c r="N79" s="7">
        <f>IFERROR(1-_xlfn.PERCENTRANK.INC('Master Data'!$N$5:$N$204,'Master Data'!$N79),0)</f>
        <v>0.442</v>
      </c>
      <c r="O79" s="7">
        <f>IFERROR(1-_xlfn.PERCENTRANK.INC('Master Data'!$O$5:$O$204,'Master Data'!$O79),0)</f>
        <v>0.668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" t="s">
        <v>91</v>
      </c>
      <c r="C80" s="7">
        <f>IFERROR(_xlfn.PERCENTRANK.INC('Master Data'!$C$5:$C$204,'Master Data'!$C80),0)</f>
        <v>0.588</v>
      </c>
      <c r="D80" s="7">
        <f>IFERROR(_xlfn.PERCENTRANK.INC('Master Data'!$D$5:$D$204,'Master Data'!$D80),0)</f>
        <v>0.623</v>
      </c>
      <c r="E80" s="7">
        <f>IFERROR(_xlfn.PERCENTRANK.INC('Master Data'!$E$5:$E$204,'Master Data'!$E80),0)</f>
        <v>0.925</v>
      </c>
      <c r="F80" s="7">
        <f>IFERROR(_xlfn.PERCENTRANK.INC('Master Data'!$F$5:$F$204,'Master Data'!$F80),0)</f>
        <v>0.241</v>
      </c>
      <c r="G80" s="7">
        <f>IFERROR(_xlfn.PERCENTRANK.INC('Master Data'!$G$5:$G$204,'Master Data'!$G80),0)</f>
        <v>0.146</v>
      </c>
      <c r="H80" s="7">
        <f>IFERROR(_xlfn.PERCENTRANK.INC('Master Data'!$H$5:$H$204,'Master Data'!$H80),0)</f>
        <v>0.286</v>
      </c>
      <c r="I80" s="7">
        <f>IFERROR(_xlfn.PERCENTRANK.INC('Master Data'!$I$5:$I$204,'Master Data'!$I80),0)</f>
        <v>0.683</v>
      </c>
      <c r="J80" s="7">
        <f>IFERROR(1-_xlfn.PERCENTRANK.INC('Master Data'!$J$5:$J$204,'Master Data'!$J80),0)</f>
        <v>0.442</v>
      </c>
      <c r="K80" s="7">
        <f>IFERROR(1-_xlfn.PERCENTRANK.INC('Master Data'!$K$5:$K$204,'Master Data'!$K80),0)</f>
        <v>0.296</v>
      </c>
      <c r="L80" s="7">
        <f>IFERROR(_xlfn.PERCENTRANK.INC('Master Data'!$L$5:$L$204,'Master Data'!$L80),0)</f>
        <v>0.327</v>
      </c>
      <c r="M80" s="7">
        <f>IFERROR(1-_xlfn.PERCENTRANK.INC('Master Data'!$M$5:$M$204,'Master Data'!$M80),0)</f>
        <v>0.789</v>
      </c>
      <c r="N80" s="7">
        <f>IFERROR(1-_xlfn.PERCENTRANK.INC('Master Data'!$N$5:$N$204,'Master Data'!$N80),0)</f>
        <v>0.623</v>
      </c>
      <c r="O80" s="7">
        <f>IFERROR(1-_xlfn.PERCENTRANK.INC('Master Data'!$O$5:$O$204,'Master Data'!$O80),0)</f>
        <v>0.809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" t="s">
        <v>76</v>
      </c>
      <c r="C81" s="7">
        <f>IFERROR(_xlfn.PERCENTRANK.INC('Master Data'!$C$5:$C$204,'Master Data'!$C81),0)</f>
        <v>0.296</v>
      </c>
      <c r="D81" s="7">
        <f>IFERROR(_xlfn.PERCENTRANK.INC('Master Data'!$D$5:$D$204,'Master Data'!$D81),0)</f>
        <v>0.719</v>
      </c>
      <c r="E81" s="7">
        <f>IFERROR(_xlfn.PERCENTRANK.INC('Master Data'!$E$5:$E$204,'Master Data'!$E81),0)</f>
        <v>0.704</v>
      </c>
      <c r="F81" s="7">
        <f>IFERROR(_xlfn.PERCENTRANK.INC('Master Data'!$F$5:$F$204,'Master Data'!$F81),0)</f>
        <v>0.834</v>
      </c>
      <c r="G81" s="7">
        <f>IFERROR(_xlfn.PERCENTRANK.INC('Master Data'!$G$5:$G$204,'Master Data'!$G81),0)</f>
        <v>0.849</v>
      </c>
      <c r="H81" s="7">
        <f>IFERROR(_xlfn.PERCENTRANK.INC('Master Data'!$H$5:$H$204,'Master Data'!$H81),0)</f>
        <v>0.523</v>
      </c>
      <c r="I81" s="7">
        <f>IFERROR(_xlfn.PERCENTRANK.INC('Master Data'!$I$5:$I$204,'Master Data'!$I81),0)</f>
        <v>0.312</v>
      </c>
      <c r="J81" s="7">
        <f>IFERROR(1-_xlfn.PERCENTRANK.INC('Master Data'!$J$5:$J$204,'Master Data'!$J81),0)</f>
        <v>0.603</v>
      </c>
      <c r="K81" s="7">
        <f>IFERROR(1-_xlfn.PERCENTRANK.INC('Master Data'!$K$5:$K$204,'Master Data'!$K81),0)</f>
        <v>0.658</v>
      </c>
      <c r="L81" s="7">
        <f>IFERROR(_xlfn.PERCENTRANK.INC('Master Data'!$L$5:$L$204,'Master Data'!$L81),0)</f>
        <v>0.829</v>
      </c>
      <c r="M81" s="7">
        <f>IFERROR(1-_xlfn.PERCENTRANK.INC('Master Data'!$M$5:$M$204,'Master Data'!$M81),0)</f>
        <v>0.538</v>
      </c>
      <c r="N81" s="7">
        <f>IFERROR(1-_xlfn.PERCENTRANK.INC('Master Data'!$N$5:$N$204,'Master Data'!$N81),0)</f>
        <v>0.166</v>
      </c>
      <c r="O81" s="7">
        <f>IFERROR(1-_xlfn.PERCENTRANK.INC('Master Data'!$O$5:$O$204,'Master Data'!$O81),0)</f>
        <v>0.347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" t="s">
        <v>75</v>
      </c>
      <c r="C82" s="7">
        <f>IFERROR(_xlfn.PERCENTRANK.INC('Master Data'!$C$5:$C$204,'Master Data'!$C82),0)</f>
        <v>0.503</v>
      </c>
      <c r="D82" s="7">
        <f>IFERROR(_xlfn.PERCENTRANK.INC('Master Data'!$D$5:$D$204,'Master Data'!$D82),0)</f>
        <v>0.387</v>
      </c>
      <c r="E82" s="7">
        <f>IFERROR(_xlfn.PERCENTRANK.INC('Master Data'!$E$5:$E$204,'Master Data'!$E82),0)</f>
        <v>0.387</v>
      </c>
      <c r="F82" s="7">
        <f>IFERROR(_xlfn.PERCENTRANK.INC('Master Data'!$F$5:$F$204,'Master Data'!$F82),0)</f>
        <v>0.452</v>
      </c>
      <c r="G82" s="7">
        <f>IFERROR(_xlfn.PERCENTRANK.INC('Master Data'!$G$5:$G$204,'Master Data'!$G82),0)</f>
        <v>0.658</v>
      </c>
      <c r="H82" s="7">
        <f>IFERROR(_xlfn.PERCENTRANK.INC('Master Data'!$H$5:$H$204,'Master Data'!$H82),0)</f>
        <v>0.407</v>
      </c>
      <c r="I82" s="7">
        <f>IFERROR(_xlfn.PERCENTRANK.INC('Master Data'!$I$5:$I$204,'Master Data'!$I82),0)</f>
        <v>0.975</v>
      </c>
      <c r="J82" s="7">
        <f>IFERROR(1-_xlfn.PERCENTRANK.INC('Master Data'!$J$5:$J$204,'Master Data'!$J82),0)</f>
        <v>0.206</v>
      </c>
      <c r="K82" s="7">
        <f>IFERROR(1-_xlfn.PERCENTRANK.INC('Master Data'!$K$5:$K$204,'Master Data'!$K82),0)</f>
        <v>0.392</v>
      </c>
      <c r="L82" s="7">
        <f>IFERROR(_xlfn.PERCENTRANK.INC('Master Data'!$L$5:$L$204,'Master Data'!$L82),0)</f>
        <v>0.457</v>
      </c>
      <c r="M82" s="7">
        <f>IFERROR(1-_xlfn.PERCENTRANK.INC('Master Data'!$M$5:$M$204,'Master Data'!$M82),0)</f>
        <v>0.925</v>
      </c>
      <c r="N82" s="7">
        <f>IFERROR(1-_xlfn.PERCENTRANK.INC('Master Data'!$N$5:$N$204,'Master Data'!$N82),0)</f>
        <v>0.754</v>
      </c>
      <c r="O82" s="7">
        <f>IFERROR(1-_xlfn.PERCENTRANK.INC('Master Data'!$O$5:$O$204,'Master Data'!$O82),0)</f>
        <v>0.879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6" t="s">
        <v>59</v>
      </c>
      <c r="C83" s="7">
        <f>IFERROR(_xlfn.PERCENTRANK.INC('Master Data'!$C$5:$C$204,'Master Data'!$C83),0)</f>
        <v>0.347</v>
      </c>
      <c r="D83" s="7">
        <f>IFERROR(_xlfn.PERCENTRANK.INC('Master Data'!$D$5:$D$204,'Master Data'!$D83),0)</f>
        <v>0.472</v>
      </c>
      <c r="E83" s="7">
        <f>IFERROR(_xlfn.PERCENTRANK.INC('Master Data'!$E$5:$E$204,'Master Data'!$E83),0)</f>
        <v>0.482</v>
      </c>
      <c r="F83" s="7">
        <f>IFERROR(_xlfn.PERCENTRANK.INC('Master Data'!$F$5:$F$204,'Master Data'!$F83),0)</f>
        <v>0.975</v>
      </c>
      <c r="G83" s="7">
        <f>IFERROR(_xlfn.PERCENTRANK.INC('Master Data'!$G$5:$G$204,'Master Data'!$G83),0)</f>
        <v>0.965</v>
      </c>
      <c r="H83" s="7">
        <f>IFERROR(_xlfn.PERCENTRANK.INC('Master Data'!$H$5:$H$204,'Master Data'!$H83),0)</f>
        <v>0.945</v>
      </c>
      <c r="I83" s="7">
        <f>IFERROR(_xlfn.PERCENTRANK.INC('Master Data'!$I$5:$I$204,'Master Data'!$I83),0)</f>
        <v>0.593</v>
      </c>
      <c r="J83" s="7">
        <f>IFERROR(1-_xlfn.PERCENTRANK.INC('Master Data'!$J$5:$J$204,'Master Data'!$J83),0)</f>
        <v>0.829</v>
      </c>
      <c r="K83" s="7">
        <f>IFERROR(1-_xlfn.PERCENTRANK.INC('Master Data'!$K$5:$K$204,'Master Data'!$K83),0)</f>
        <v>0.789</v>
      </c>
      <c r="L83" s="7">
        <f>IFERROR(_xlfn.PERCENTRANK.INC('Master Data'!$L$5:$L$204,'Master Data'!$L83),0)</f>
        <v>0.854</v>
      </c>
      <c r="M83" s="7">
        <f>IFERROR(1-_xlfn.PERCENTRANK.INC('Master Data'!$M$5:$M$204,'Master Data'!$M83),0)</f>
        <v>0.377</v>
      </c>
      <c r="N83" s="7">
        <f>IFERROR(1-_xlfn.PERCENTRANK.INC('Master Data'!$N$5:$N$204,'Master Data'!$N83),0)</f>
        <v>0.07</v>
      </c>
      <c r="O83" s="7">
        <f>IFERROR(1-_xlfn.PERCENTRANK.INC('Master Data'!$O$5:$O$204,'Master Data'!$O83),0)</f>
        <v>0.256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6" t="s">
        <v>49</v>
      </c>
      <c r="C84" s="7">
        <f>IFERROR(_xlfn.PERCENTRANK.INC('Master Data'!$C$5:$C$204,'Master Data'!$C84),0)</f>
        <v>0.487</v>
      </c>
      <c r="D84" s="7">
        <f>IFERROR(_xlfn.PERCENTRANK.INC('Master Data'!$D$5:$D$204,'Master Data'!$D84),0)</f>
        <v>0.523</v>
      </c>
      <c r="E84" s="7">
        <f>IFERROR(_xlfn.PERCENTRANK.INC('Master Data'!$E$5:$E$204,'Master Data'!$E84),0)</f>
        <v>0.307</v>
      </c>
      <c r="F84" s="7">
        <f>IFERROR(_xlfn.PERCENTRANK.INC('Master Data'!$F$5:$F$204,'Master Data'!$F84),0)</f>
        <v>0.93</v>
      </c>
      <c r="G84" s="7">
        <f>IFERROR(_xlfn.PERCENTRANK.INC('Master Data'!$G$5:$G$204,'Master Data'!$G84),0)</f>
        <v>0.955</v>
      </c>
      <c r="H84" s="7">
        <f>IFERROR(_xlfn.PERCENTRANK.INC('Master Data'!$H$5:$H$204,'Master Data'!$H84),0)</f>
        <v>0.94</v>
      </c>
      <c r="I84" s="7">
        <f>IFERROR(_xlfn.PERCENTRANK.INC('Master Data'!$I$5:$I$204,'Master Data'!$I84),0)</f>
        <v>0.704</v>
      </c>
      <c r="J84" s="7">
        <f>IFERROR(1-_xlfn.PERCENTRANK.INC('Master Data'!$J$5:$J$204,'Master Data'!$J84),0)</f>
        <v>0.417</v>
      </c>
      <c r="K84" s="7">
        <f>IFERROR(1-_xlfn.PERCENTRANK.INC('Master Data'!$K$5:$K$204,'Master Data'!$K84),0)</f>
        <v>0.598</v>
      </c>
      <c r="L84" s="7">
        <f>IFERROR(_xlfn.PERCENTRANK.INC('Master Data'!$L$5:$L$204,'Master Data'!$L84),0)</f>
        <v>0.704</v>
      </c>
      <c r="M84" s="7">
        <f>IFERROR(1-_xlfn.PERCENTRANK.INC('Master Data'!$M$5:$M$204,'Master Data'!$M84),0)</f>
        <v>0.859</v>
      </c>
      <c r="N84" s="7">
        <f>IFERROR(1-_xlfn.PERCENTRANK.INC('Master Data'!$N$5:$N$204,'Master Data'!$N84),0)</f>
        <v>0.543</v>
      </c>
      <c r="O84" s="7">
        <f>IFERROR(1-_xlfn.PERCENTRANK.INC('Master Data'!$O$5:$O$204,'Master Data'!$O84),0)</f>
        <v>0.136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6" t="s">
        <v>185</v>
      </c>
      <c r="C85" s="7">
        <f>IFERROR(_xlfn.PERCENTRANK.INC('Master Data'!$C$5:$C$204,'Master Data'!$C85),0)</f>
        <v>0.03</v>
      </c>
      <c r="D85" s="7">
        <f>IFERROR(_xlfn.PERCENTRANK.INC('Master Data'!$D$5:$D$204,'Master Data'!$D85),0)</f>
        <v>0.05</v>
      </c>
      <c r="E85" s="7">
        <f>IFERROR(_xlfn.PERCENTRANK.INC('Master Data'!$E$5:$E$204,'Master Data'!$E85),0)</f>
        <v>0.04</v>
      </c>
      <c r="F85" s="7">
        <f>IFERROR(_xlfn.PERCENTRANK.INC('Master Data'!$F$5:$F$204,'Master Data'!$F85),0)</f>
        <v>0.618</v>
      </c>
      <c r="G85" s="7">
        <f>IFERROR(_xlfn.PERCENTRANK.INC('Master Data'!$G$5:$G$204,'Master Data'!$G85),0)</f>
        <v>0.437</v>
      </c>
      <c r="H85" s="7">
        <f>IFERROR(_xlfn.PERCENTRANK.INC('Master Data'!$H$5:$H$204,'Master Data'!$H85),0)</f>
        <v>0.372</v>
      </c>
      <c r="I85" s="7">
        <f>IFERROR(_xlfn.PERCENTRANK.INC('Master Data'!$I$5:$I$204,'Master Data'!$I85),0)</f>
        <v>0.683</v>
      </c>
      <c r="J85" s="7">
        <f>IFERROR(1-_xlfn.PERCENTRANK.INC('Master Data'!$J$5:$J$204,'Master Data'!$J85),0)</f>
        <v>0.528</v>
      </c>
      <c r="K85" s="7">
        <f>IFERROR(1-_xlfn.PERCENTRANK.INC('Master Data'!$K$5:$K$204,'Master Data'!$K85),0)</f>
        <v>0.553</v>
      </c>
      <c r="L85" s="7">
        <f>IFERROR(_xlfn.PERCENTRANK.INC('Master Data'!$L$5:$L$204,'Master Data'!$L85),0)</f>
        <v>0.397</v>
      </c>
      <c r="M85" s="7">
        <f>IFERROR(1-_xlfn.PERCENTRANK.INC('Master Data'!$M$5:$M$204,'Master Data'!$M85),0)</f>
        <v>0.111</v>
      </c>
      <c r="N85" s="7">
        <f>IFERROR(1-_xlfn.PERCENTRANK.INC('Master Data'!$N$5:$N$204,'Master Data'!$N85),0)</f>
        <v>0.412</v>
      </c>
      <c r="O85" s="7">
        <f>IFERROR(1-_xlfn.PERCENTRANK.INC('Master Data'!$O$5:$O$204,'Master Data'!$O85),0)</f>
        <v>0.171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" t="s">
        <v>139</v>
      </c>
      <c r="C86" s="7">
        <f>IFERROR(_xlfn.PERCENTRANK.INC('Master Data'!$C$5:$C$204,'Master Data'!$C86),0)</f>
        <v>0.658</v>
      </c>
      <c r="D86" s="7">
        <f>IFERROR(_xlfn.PERCENTRANK.INC('Master Data'!$D$5:$D$204,'Master Data'!$D86),0)</f>
        <v>0.663</v>
      </c>
      <c r="E86" s="7">
        <f>IFERROR(_xlfn.PERCENTRANK.INC('Master Data'!$E$5:$E$204,'Master Data'!$E86),0)</f>
        <v>0.618</v>
      </c>
      <c r="F86" s="7">
        <f>IFERROR(_xlfn.PERCENTRANK.INC('Master Data'!$F$5:$F$204,'Master Data'!$F86),0)</f>
        <v>0.291</v>
      </c>
      <c r="G86" s="7">
        <f>IFERROR(_xlfn.PERCENTRANK.INC('Master Data'!$G$5:$G$204,'Master Data'!$G86),0)</f>
        <v>0.382</v>
      </c>
      <c r="H86" s="7">
        <f>IFERROR(_xlfn.PERCENTRANK.INC('Master Data'!$H$5:$H$204,'Master Data'!$H86),0)</f>
        <v>0.211</v>
      </c>
      <c r="I86" s="7">
        <f>IFERROR(_xlfn.PERCENTRANK.INC('Master Data'!$I$5:$I$204,'Master Data'!$I86),0)</f>
        <v>0.095</v>
      </c>
      <c r="J86" s="7">
        <f>IFERROR(1-_xlfn.PERCENTRANK.INC('Master Data'!$J$5:$J$204,'Master Data'!$J86),0)</f>
        <v>0.131</v>
      </c>
      <c r="K86" s="7">
        <f>IFERROR(1-_xlfn.PERCENTRANK.INC('Master Data'!$K$5:$K$204,'Master Data'!$K86),0)</f>
        <v>0.161</v>
      </c>
      <c r="L86" s="7">
        <f>IFERROR(_xlfn.PERCENTRANK.INC('Master Data'!$L$5:$L$204,'Master Data'!$L86),0)</f>
        <v>0.166</v>
      </c>
      <c r="M86" s="7">
        <f>IFERROR(1-_xlfn.PERCENTRANK.INC('Master Data'!$M$5:$M$204,'Master Data'!$M86),0)</f>
        <v>0.799</v>
      </c>
      <c r="N86" s="7">
        <f>IFERROR(1-_xlfn.PERCENTRANK.INC('Master Data'!$N$5:$N$204,'Master Data'!$N86),0)</f>
        <v>0.558</v>
      </c>
      <c r="O86" s="7">
        <f>IFERROR(1-_xlfn.PERCENTRANK.INC('Master Data'!$O$5:$O$204,'Master Data'!$O86),0)</f>
        <v>0.799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6" t="s">
        <v>78</v>
      </c>
      <c r="C87" s="7">
        <f>IFERROR(_xlfn.PERCENTRANK.INC('Master Data'!$C$5:$C$204,'Master Data'!$C87),0)</f>
        <v>0.03</v>
      </c>
      <c r="D87" s="7">
        <f>IFERROR(_xlfn.PERCENTRANK.INC('Master Data'!$D$5:$D$204,'Master Data'!$D87),0)</f>
        <v>0.05</v>
      </c>
      <c r="E87" s="7">
        <f>IFERROR(_xlfn.PERCENTRANK.INC('Master Data'!$E$5:$E$204,'Master Data'!$E87),0)</f>
        <v>0.04</v>
      </c>
      <c r="F87" s="7">
        <f>IFERROR(_xlfn.PERCENTRANK.INC('Master Data'!$F$5:$F$204,'Master Data'!$F87),0)</f>
        <v>0.899</v>
      </c>
      <c r="G87" s="7">
        <f>IFERROR(_xlfn.PERCENTRANK.INC('Master Data'!$G$5:$G$204,'Master Data'!$G87),0)</f>
        <v>0.889</v>
      </c>
      <c r="H87" s="7">
        <f>IFERROR(_xlfn.PERCENTRANK.INC('Master Data'!$H$5:$H$204,'Master Data'!$H87),0)</f>
        <v>0.824</v>
      </c>
      <c r="I87" s="7">
        <f>IFERROR(_xlfn.PERCENTRANK.INC('Master Data'!$I$5:$I$204,'Master Data'!$I87),0)</f>
        <v>0.985</v>
      </c>
      <c r="J87" s="7">
        <f>IFERROR(1-_xlfn.PERCENTRANK.INC('Master Data'!$J$5:$J$204,'Master Data'!$J87),0)</f>
        <v>0.704</v>
      </c>
      <c r="K87" s="7">
        <f>IFERROR(1-_xlfn.PERCENTRANK.INC('Master Data'!$K$5:$K$204,'Master Data'!$K87),0)</f>
        <v>0.704</v>
      </c>
      <c r="L87" s="7">
        <f>IFERROR(_xlfn.PERCENTRANK.INC('Master Data'!$L$5:$L$204,'Master Data'!$L87),0)</f>
        <v>0.663</v>
      </c>
      <c r="M87" s="7">
        <f>IFERROR(1-_xlfn.PERCENTRANK.INC('Master Data'!$M$5:$M$204,'Master Data'!$M87),0)</f>
        <v>0.779</v>
      </c>
      <c r="N87" s="7">
        <f>IFERROR(1-_xlfn.PERCENTRANK.INC('Master Data'!$N$5:$N$204,'Master Data'!$N87),0)</f>
        <v>0.739</v>
      </c>
      <c r="O87" s="7">
        <f>IFERROR(1-_xlfn.PERCENTRANK.INC('Master Data'!$O$5:$O$204,'Master Data'!$O87),0)</f>
        <v>0.327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" t="s">
        <v>170</v>
      </c>
      <c r="C88" s="7">
        <f>IFERROR(_xlfn.PERCENTRANK.INC('Master Data'!$C$5:$C$204,'Master Data'!$C88),0)</f>
        <v>0.653</v>
      </c>
      <c r="D88" s="7">
        <f>IFERROR(_xlfn.PERCENTRANK.INC('Master Data'!$D$5:$D$204,'Master Data'!$D88),0)</f>
        <v>0.744</v>
      </c>
      <c r="E88" s="7">
        <f>IFERROR(_xlfn.PERCENTRANK.INC('Master Data'!$E$5:$E$204,'Master Data'!$E88),0)</f>
        <v>0.729</v>
      </c>
      <c r="F88" s="7">
        <f>IFERROR(_xlfn.PERCENTRANK.INC('Master Data'!$F$5:$F$204,'Master Data'!$F88),0)</f>
        <v>0.156</v>
      </c>
      <c r="G88" s="7">
        <f>IFERROR(_xlfn.PERCENTRANK.INC('Master Data'!$G$5:$G$204,'Master Data'!$G88),0)</f>
        <v>0.352</v>
      </c>
      <c r="H88" s="7">
        <f>IFERROR(_xlfn.PERCENTRANK.INC('Master Data'!$H$5:$H$204,'Master Data'!$H88),0)</f>
        <v>0.171</v>
      </c>
      <c r="I88" s="7">
        <f>IFERROR(_xlfn.PERCENTRANK.INC('Master Data'!$I$5:$I$204,'Master Data'!$I88),0)</f>
        <v>0.025</v>
      </c>
      <c r="J88" s="7">
        <f>IFERROR(1-_xlfn.PERCENTRANK.INC('Master Data'!$J$5:$J$204,'Master Data'!$J88),0)</f>
        <v>0.09</v>
      </c>
      <c r="K88" s="7">
        <f>IFERROR(1-_xlfn.PERCENTRANK.INC('Master Data'!$K$5:$K$204,'Master Data'!$K88),0)</f>
        <v>0.055</v>
      </c>
      <c r="L88" s="7">
        <f>IFERROR(_xlfn.PERCENTRANK.INC('Master Data'!$L$5:$L$204,'Master Data'!$L88),0)</f>
        <v>0.156</v>
      </c>
      <c r="M88" s="7">
        <f>IFERROR(1-_xlfn.PERCENTRANK.INC('Master Data'!$M$5:$M$204,'Master Data'!$M88),0)</f>
        <v>0.583</v>
      </c>
      <c r="N88" s="7">
        <f>IFERROR(1-_xlfn.PERCENTRANK.INC('Master Data'!$N$5:$N$204,'Master Data'!$N88),0)</f>
        <v>0.352</v>
      </c>
      <c r="O88" s="7">
        <f>IFERROR(1-_xlfn.PERCENTRANK.INC('Master Data'!$O$5:$O$204,'Master Data'!$O88),0)</f>
        <v>0.724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6" t="s">
        <v>38</v>
      </c>
      <c r="C89" s="7">
        <f>IFERROR(_xlfn.PERCENTRANK.INC('Master Data'!$C$5:$C$204,'Master Data'!$C89),0)</f>
        <v>0.799</v>
      </c>
      <c r="D89" s="7">
        <f>IFERROR(_xlfn.PERCENTRANK.INC('Master Data'!$D$5:$D$204,'Master Data'!$D89),0)</f>
        <v>0.774</v>
      </c>
      <c r="E89" s="7">
        <f>IFERROR(_xlfn.PERCENTRANK.INC('Master Data'!$E$5:$E$204,'Master Data'!$E89),0)</f>
        <v>0.734</v>
      </c>
      <c r="F89" s="7">
        <f>IFERROR(_xlfn.PERCENTRANK.INC('Master Data'!$F$5:$F$204,'Master Data'!$F89),0)</f>
        <v>0.764</v>
      </c>
      <c r="G89" s="7">
        <f>IFERROR(_xlfn.PERCENTRANK.INC('Master Data'!$G$5:$G$204,'Master Data'!$G89),0)</f>
        <v>0.704</v>
      </c>
      <c r="H89" s="7">
        <f>IFERROR(_xlfn.PERCENTRANK.INC('Master Data'!$H$5:$H$204,'Master Data'!$H89),0)</f>
        <v>0.307</v>
      </c>
      <c r="I89" s="7">
        <f>IFERROR(_xlfn.PERCENTRANK.INC('Master Data'!$I$5:$I$204,'Master Data'!$I89),0)</f>
        <v>0.327</v>
      </c>
      <c r="J89" s="7">
        <f>IFERROR(1-_xlfn.PERCENTRANK.INC('Master Data'!$J$5:$J$204,'Master Data'!$J89),0)</f>
        <v>0.739</v>
      </c>
      <c r="K89" s="7">
        <f>IFERROR(1-_xlfn.PERCENTRANK.INC('Master Data'!$K$5:$K$204,'Master Data'!$K89),0)</f>
        <v>0.935</v>
      </c>
      <c r="L89" s="7">
        <f>IFERROR(_xlfn.PERCENTRANK.INC('Master Data'!$L$5:$L$204,'Master Data'!$L89),0)</f>
        <v>0.583</v>
      </c>
      <c r="M89" s="7">
        <f>IFERROR(1-_xlfn.PERCENTRANK.INC('Master Data'!$M$5:$M$204,'Master Data'!$M89),0)</f>
        <v>0.523</v>
      </c>
      <c r="N89" s="7">
        <f>IFERROR(1-_xlfn.PERCENTRANK.INC('Master Data'!$N$5:$N$204,'Master Data'!$N89),0)</f>
        <v>0.417</v>
      </c>
      <c r="O89" s="7">
        <f>IFERROR(1-_xlfn.PERCENTRANK.INC('Master Data'!$O$5:$O$204,'Master Data'!$O89),0)</f>
        <v>0.457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6" t="s">
        <v>152</v>
      </c>
      <c r="C90" s="7">
        <f>IFERROR(_xlfn.PERCENTRANK.INC('Master Data'!$C$5:$C$204,'Master Data'!$C90),0)</f>
        <v>0.965</v>
      </c>
      <c r="D90" s="7">
        <f>IFERROR(_xlfn.PERCENTRANK.INC('Master Data'!$D$5:$D$204,'Master Data'!$D90),0)</f>
        <v>0.754</v>
      </c>
      <c r="E90" s="7">
        <f>IFERROR(_xlfn.PERCENTRANK.INC('Master Data'!$E$5:$E$204,'Master Data'!$E90),0)</f>
        <v>0.588</v>
      </c>
      <c r="F90" s="7">
        <f>IFERROR(_xlfn.PERCENTRANK.INC('Master Data'!$F$5:$F$204,'Master Data'!$F90),0)</f>
        <v>0.166</v>
      </c>
      <c r="G90" s="7">
        <f>IFERROR(_xlfn.PERCENTRANK.INC('Master Data'!$G$5:$G$204,'Master Data'!$G90),0)</f>
        <v>0.085</v>
      </c>
      <c r="H90" s="7">
        <f>IFERROR(_xlfn.PERCENTRANK.INC('Master Data'!$H$5:$H$204,'Master Data'!$H90),0)</f>
        <v>0.07</v>
      </c>
      <c r="I90" s="7">
        <f>IFERROR(_xlfn.PERCENTRANK.INC('Master Data'!$I$5:$I$204,'Master Data'!$I90),0)</f>
        <v>0.131</v>
      </c>
      <c r="J90" s="7">
        <f>IFERROR(1-_xlfn.PERCENTRANK.INC('Master Data'!$J$5:$J$204,'Master Data'!$J90),0)</f>
        <v>0.07</v>
      </c>
      <c r="K90" s="7">
        <f>IFERROR(1-_xlfn.PERCENTRANK.INC('Master Data'!$K$5:$K$204,'Master Data'!$K90),0)</f>
        <v>0.06</v>
      </c>
      <c r="L90" s="7">
        <f>IFERROR(_xlfn.PERCENTRANK.INC('Master Data'!$L$5:$L$204,'Master Data'!$L90),0)</f>
        <v>0.06</v>
      </c>
      <c r="M90" s="7">
        <f>IFERROR(1-_xlfn.PERCENTRANK.INC('Master Data'!$M$5:$M$204,'Master Data'!$M90),0)</f>
        <v>0.548</v>
      </c>
      <c r="N90" s="7">
        <f>IFERROR(1-_xlfn.PERCENTRANK.INC('Master Data'!$N$5:$N$204,'Master Data'!$N90),0)</f>
        <v>0.774</v>
      </c>
      <c r="O90" s="7">
        <f>IFERROR(1-_xlfn.PERCENTRANK.INC('Master Data'!$O$5:$O$204,'Master Data'!$O90),0)</f>
        <v>0.935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" t="s">
        <v>135</v>
      </c>
      <c r="C91" s="7">
        <f>IFERROR(_xlfn.PERCENTRANK.INC('Master Data'!$C$5:$C$204,'Master Data'!$C91),0)</f>
        <v>0.789</v>
      </c>
      <c r="D91" s="7">
        <f>IFERROR(_xlfn.PERCENTRANK.INC('Master Data'!$D$5:$D$204,'Master Data'!$D91),0)</f>
        <v>0.714</v>
      </c>
      <c r="E91" s="7">
        <f>IFERROR(_xlfn.PERCENTRANK.INC('Master Data'!$E$5:$E$204,'Master Data'!$E91),0)</f>
        <v>0.96</v>
      </c>
      <c r="F91" s="7">
        <f>IFERROR(_xlfn.PERCENTRANK.INC('Master Data'!$F$5:$F$204,'Master Data'!$F91),0)</f>
        <v>0.126</v>
      </c>
      <c r="G91" s="7">
        <f>IFERROR(_xlfn.PERCENTRANK.INC('Master Data'!$G$5:$G$204,'Master Data'!$G91),0)</f>
        <v>0.271</v>
      </c>
      <c r="H91" s="7">
        <f>IFERROR(_xlfn.PERCENTRANK.INC('Master Data'!$H$5:$H$204,'Master Data'!$H91),0)</f>
        <v>0.111</v>
      </c>
      <c r="I91" s="7">
        <f>IFERROR(_xlfn.PERCENTRANK.INC('Master Data'!$I$5:$I$204,'Master Data'!$I91),0)</f>
        <v>0.025</v>
      </c>
      <c r="J91" s="7">
        <f>IFERROR(1-_xlfn.PERCENTRANK.INC('Master Data'!$J$5:$J$204,'Master Data'!$J91),0)</f>
        <v>0.035</v>
      </c>
      <c r="K91" s="7">
        <f>IFERROR(1-_xlfn.PERCENTRANK.INC('Master Data'!$K$5:$K$204,'Master Data'!$K91),0)</f>
        <v>0.05</v>
      </c>
      <c r="L91" s="7">
        <f>IFERROR(_xlfn.PERCENTRANK.INC('Master Data'!$L$5:$L$204,'Master Data'!$L91),0)</f>
        <v>0.08</v>
      </c>
      <c r="M91" s="7">
        <f>IFERROR(1-_xlfn.PERCENTRANK.INC('Master Data'!$M$5:$M$204,'Master Data'!$M91),0)</f>
        <v>0.704</v>
      </c>
      <c r="N91" s="7">
        <f>IFERROR(1-_xlfn.PERCENTRANK.INC('Master Data'!$N$5:$N$204,'Master Data'!$N91),0)</f>
        <v>0.663</v>
      </c>
      <c r="O91" s="7">
        <f>IFERROR(1-_xlfn.PERCENTRANK.INC('Master Data'!$O$5:$O$204,'Master Data'!$O91),0)</f>
        <v>0.94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" t="s">
        <v>129</v>
      </c>
      <c r="C92" s="7">
        <f>IFERROR(_xlfn.PERCENTRANK.INC('Master Data'!$C$5:$C$204,'Master Data'!$C92),0)</f>
        <v>0.392</v>
      </c>
      <c r="D92" s="7">
        <f>IFERROR(_xlfn.PERCENTRANK.INC('Master Data'!$D$5:$D$204,'Master Data'!$D92),0)</f>
        <v>0.799</v>
      </c>
      <c r="E92" s="7">
        <f>IFERROR(_xlfn.PERCENTRANK.INC('Master Data'!$E$5:$E$204,'Master Data'!$E92),0)</f>
        <v>0.97</v>
      </c>
      <c r="F92" s="7">
        <f>IFERROR(_xlfn.PERCENTRANK.INC('Master Data'!$F$5:$F$204,'Master Data'!$F92),0)</f>
        <v>0.281</v>
      </c>
      <c r="G92" s="7">
        <f>IFERROR(_xlfn.PERCENTRANK.INC('Master Data'!$G$5:$G$204,'Master Data'!$G92),0)</f>
        <v>0.151</v>
      </c>
      <c r="H92" s="7">
        <f>IFERROR(_xlfn.PERCENTRANK.INC('Master Data'!$H$5:$H$204,'Master Data'!$H92),0)</f>
        <v>0.337</v>
      </c>
      <c r="I92" s="7">
        <f>IFERROR(_xlfn.PERCENTRANK.INC('Master Data'!$I$5:$I$204,'Master Data'!$I92),0)</f>
        <v>0.387</v>
      </c>
      <c r="J92" s="7">
        <f>IFERROR(1-_xlfn.PERCENTRANK.INC('Master Data'!$J$5:$J$204,'Master Data'!$J92),0)</f>
        <v>0.392</v>
      </c>
      <c r="K92" s="7">
        <f>IFERROR(1-_xlfn.PERCENTRANK.INC('Master Data'!$K$5:$K$204,'Master Data'!$K92),0)</f>
        <v>0.97</v>
      </c>
      <c r="L92" s="7">
        <f>IFERROR(_xlfn.PERCENTRANK.INC('Master Data'!$L$5:$L$204,'Master Data'!$L92),0)</f>
        <v>0.377</v>
      </c>
      <c r="M92" s="7">
        <f>IFERROR(1-_xlfn.PERCENTRANK.INC('Master Data'!$M$5:$M$204,'Master Data'!$M92),0)</f>
        <v>0.231</v>
      </c>
      <c r="N92" s="7">
        <f>IFERROR(1-_xlfn.PERCENTRANK.INC('Master Data'!$N$5:$N$204,'Master Data'!$N92),0)</f>
        <v>0.216</v>
      </c>
      <c r="O92" s="7">
        <f>IFERROR(1-_xlfn.PERCENTRANK.INC('Master Data'!$O$5:$O$204,'Master Data'!$O92),0)</f>
        <v>0.286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6" t="s">
        <v>97</v>
      </c>
      <c r="C93" s="7">
        <f>IFERROR(_xlfn.PERCENTRANK.INC('Master Data'!$C$5:$C$204,'Master Data'!$C93),0)</f>
        <v>0.397</v>
      </c>
      <c r="D93" s="7">
        <f>IFERROR(_xlfn.PERCENTRANK.INC('Master Data'!$D$5:$D$204,'Master Data'!$D93),0)</f>
        <v>0.312</v>
      </c>
      <c r="E93" s="7">
        <f>IFERROR(_xlfn.PERCENTRANK.INC('Master Data'!$E$5:$E$204,'Master Data'!$E93),0)</f>
        <v>0.296</v>
      </c>
      <c r="F93" s="7">
        <f>IFERROR(_xlfn.PERCENTRANK.INC('Master Data'!$F$5:$F$204,'Master Data'!$F93),0)</f>
        <v>0.457</v>
      </c>
      <c r="G93" s="7">
        <f>IFERROR(_xlfn.PERCENTRANK.INC('Master Data'!$G$5:$G$204,'Master Data'!$G93),0)</f>
        <v>0.543</v>
      </c>
      <c r="H93" s="7">
        <f>IFERROR(_xlfn.PERCENTRANK.INC('Master Data'!$H$5:$H$204,'Master Data'!$H93),0)</f>
        <v>0.442</v>
      </c>
      <c r="I93" s="7">
        <f>IFERROR(_xlfn.PERCENTRANK.INC('Master Data'!$I$5:$I$204,'Master Data'!$I93),0)</f>
        <v>0.899</v>
      </c>
      <c r="J93" s="7">
        <f>IFERROR(1-_xlfn.PERCENTRANK.INC('Master Data'!$J$5:$J$204,'Master Data'!$J93),0)</f>
        <v>0.281</v>
      </c>
      <c r="K93" s="7">
        <f>IFERROR(1-_xlfn.PERCENTRANK.INC('Master Data'!$K$5:$K$204,'Master Data'!$K93),0)</f>
        <v>0.302</v>
      </c>
      <c r="L93" s="7">
        <f>IFERROR(_xlfn.PERCENTRANK.INC('Master Data'!$L$5:$L$204,'Master Data'!$L93),0)</f>
        <v>0.387</v>
      </c>
      <c r="M93" s="7">
        <f>IFERROR(1-_xlfn.PERCENTRANK.INC('Master Data'!$M$5:$M$204,'Master Data'!$M93),0)</f>
        <v>0.91</v>
      </c>
      <c r="N93" s="7">
        <f>IFERROR(1-_xlfn.PERCENTRANK.INC('Master Data'!$N$5:$N$204,'Master Data'!$N93),0)</f>
        <v>0.749</v>
      </c>
      <c r="O93" s="7">
        <f>IFERROR(1-_xlfn.PERCENTRANK.INC('Master Data'!$O$5:$O$204,'Master Data'!$O93),0)</f>
        <v>0.945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6" t="s">
        <v>23</v>
      </c>
      <c r="C94" s="7">
        <f>IFERROR(_xlfn.PERCENTRANK.INC('Master Data'!$C$5:$C$204,'Master Data'!$C94),0)</f>
        <v>0.714</v>
      </c>
      <c r="D94" s="7">
        <f>IFERROR(_xlfn.PERCENTRANK.INC('Master Data'!$D$5:$D$204,'Master Data'!$D94),0)</f>
        <v>0.92</v>
      </c>
      <c r="E94" s="7">
        <f>IFERROR(_xlfn.PERCENTRANK.INC('Master Data'!$E$5:$E$204,'Master Data'!$E94),0)</f>
        <v>0.824</v>
      </c>
      <c r="F94" s="7">
        <f>IFERROR(_xlfn.PERCENTRANK.INC('Master Data'!$F$5:$F$204,'Master Data'!$F94),0)</f>
        <v>0.95</v>
      </c>
      <c r="G94" s="7">
        <f>IFERROR(_xlfn.PERCENTRANK.INC('Master Data'!$G$5:$G$204,'Master Data'!$G94),0)</f>
        <v>0.925</v>
      </c>
      <c r="H94" s="7">
        <f>IFERROR(_xlfn.PERCENTRANK.INC('Master Data'!$H$5:$H$204,'Master Data'!$H94),0)</f>
        <v>0.839</v>
      </c>
      <c r="I94" s="7">
        <f>IFERROR(_xlfn.PERCENTRANK.INC('Master Data'!$I$5:$I$204,'Master Data'!$I94),0)</f>
        <v>0.543</v>
      </c>
      <c r="J94" s="7">
        <f>IFERROR(1-_xlfn.PERCENTRANK.INC('Master Data'!$J$5:$J$204,'Master Data'!$J94),0)</f>
        <v>0.799</v>
      </c>
      <c r="K94" s="7">
        <f>IFERROR(1-_xlfn.PERCENTRANK.INC('Master Data'!$K$5:$K$204,'Master Data'!$K94),0)</f>
        <v>0.744</v>
      </c>
      <c r="L94" s="7">
        <f>IFERROR(_xlfn.PERCENTRANK.INC('Master Data'!$L$5:$L$204,'Master Data'!$L94),0)</f>
        <v>0.804</v>
      </c>
      <c r="M94" s="7">
        <f>IFERROR(1-_xlfn.PERCENTRANK.INC('Master Data'!$M$5:$M$204,'Master Data'!$M94),0)</f>
        <v>0.392</v>
      </c>
      <c r="N94" s="7">
        <f>IFERROR(1-_xlfn.PERCENTRANK.INC('Master Data'!$N$5:$N$204,'Master Data'!$N94),0)</f>
        <v>0.256</v>
      </c>
      <c r="O94" s="7">
        <f>IFERROR(1-_xlfn.PERCENTRANK.INC('Master Data'!$O$5:$O$204,'Master Data'!$O94),0)</f>
        <v>0.111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6" t="s">
        <v>176</v>
      </c>
      <c r="C95" s="7">
        <f>IFERROR(_xlfn.PERCENTRANK.INC('Master Data'!$C$5:$C$204,'Master Data'!$C95),0)</f>
        <v>0.759</v>
      </c>
      <c r="D95" s="7">
        <f>IFERROR(_xlfn.PERCENTRANK.INC('Master Data'!$D$5:$D$204,'Master Data'!$D95),0)</f>
        <v>0.693</v>
      </c>
      <c r="E95" s="7">
        <f>IFERROR(_xlfn.PERCENTRANK.INC('Master Data'!$E$5:$E$204,'Master Data'!$E95),0)</f>
        <v>0.854</v>
      </c>
      <c r="F95" s="7">
        <f>IFERROR(_xlfn.PERCENTRANK.INC('Master Data'!$F$5:$F$204,'Master Data'!$F95),0)</f>
        <v>0.151</v>
      </c>
      <c r="G95" s="7">
        <f>IFERROR(_xlfn.PERCENTRANK.INC('Master Data'!$G$5:$G$204,'Master Data'!$G95),0)</f>
        <v>0.387</v>
      </c>
      <c r="H95" s="7">
        <f>IFERROR(_xlfn.PERCENTRANK.INC('Master Data'!$H$5:$H$204,'Master Data'!$H95),0)</f>
        <v>0.151</v>
      </c>
      <c r="I95" s="7">
        <f>IFERROR(_xlfn.PERCENTRANK.INC('Master Data'!$I$5:$I$204,'Master Data'!$I95),0)</f>
        <v>0.015</v>
      </c>
      <c r="J95" s="7">
        <f>IFERROR(1-_xlfn.PERCENTRANK.INC('Master Data'!$J$5:$J$204,'Master Data'!$J95),0)</f>
        <v>0.06</v>
      </c>
      <c r="K95" s="7">
        <f>IFERROR(1-_xlfn.PERCENTRANK.INC('Master Data'!$K$5:$K$204,'Master Data'!$K95),0)</f>
        <v>0.09</v>
      </c>
      <c r="L95" s="7">
        <f>IFERROR(_xlfn.PERCENTRANK.INC('Master Data'!$L$5:$L$204,'Master Data'!$L95),0)</f>
        <v>0.106</v>
      </c>
      <c r="M95" s="7">
        <f>IFERROR(1-_xlfn.PERCENTRANK.INC('Master Data'!$M$5:$M$204,'Master Data'!$M95),0)</f>
        <v>0.613</v>
      </c>
      <c r="N95" s="7">
        <f>IFERROR(1-_xlfn.PERCENTRANK.INC('Master Data'!$N$5:$N$204,'Master Data'!$N95),0)</f>
        <v>0.035</v>
      </c>
      <c r="O95" s="7">
        <f>IFERROR(1-_xlfn.PERCENTRANK.INC('Master Data'!$O$5:$O$204,'Master Data'!$O95),0)</f>
        <v>0.744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6" t="s">
        <v>199</v>
      </c>
      <c r="C96" s="7">
        <f>IFERROR(_xlfn.PERCENTRANK.INC('Master Data'!$C$5:$C$204,'Master Data'!$C96),0)</f>
        <v>0.03</v>
      </c>
      <c r="D96" s="7">
        <f>IFERROR(_xlfn.PERCENTRANK.INC('Master Data'!$D$5:$D$204,'Master Data'!$D96),0)</f>
        <v>0.05</v>
      </c>
      <c r="E96" s="7">
        <f>IFERROR(_xlfn.PERCENTRANK.INC('Master Data'!$E$5:$E$204,'Master Data'!$E96),0)</f>
        <v>0.04</v>
      </c>
      <c r="F96" s="7">
        <f>IFERROR(_xlfn.PERCENTRANK.INC('Master Data'!$F$5:$F$204,'Master Data'!$F96),0)</f>
        <v>0.251</v>
      </c>
      <c r="G96" s="7">
        <f>IFERROR(_xlfn.PERCENTRANK.INC('Master Data'!$G$5:$G$204,'Master Data'!$G96),0)</f>
        <v>0.422</v>
      </c>
      <c r="H96" s="7">
        <f>IFERROR(_xlfn.PERCENTRANK.INC('Master Data'!$H$5:$H$204,'Master Data'!$H96),0)</f>
        <v>0.186</v>
      </c>
      <c r="I96" s="7">
        <f>IFERROR(_xlfn.PERCENTRANK.INC('Master Data'!$I$5:$I$204,'Master Data'!$I96),0)</f>
        <v>0.095</v>
      </c>
      <c r="J96" s="7">
        <f>IFERROR(1-_xlfn.PERCENTRANK.INC('Master Data'!$J$5:$J$204,'Master Data'!$J96),0)</f>
        <v>0.101</v>
      </c>
      <c r="K96" s="7">
        <f>IFERROR(1-_xlfn.PERCENTRANK.INC('Master Data'!$K$5:$K$204,'Master Data'!$K96),0)</f>
        <v>0.131</v>
      </c>
      <c r="L96" s="7">
        <f>IFERROR(_xlfn.PERCENTRANK.INC('Master Data'!$L$5:$L$204,'Master Data'!$L96),0)</f>
        <v>0.136</v>
      </c>
      <c r="M96" s="7">
        <f>IFERROR(1-_xlfn.PERCENTRANK.INC('Master Data'!$M$5:$M$204,'Master Data'!$M96),0)</f>
        <v>0.759</v>
      </c>
      <c r="N96" s="7">
        <f>IFERROR(1-_xlfn.PERCENTRANK.INC('Master Data'!$N$5:$N$204,'Master Data'!$N96),0)</f>
        <v>0.497</v>
      </c>
      <c r="O96" s="7">
        <f>IFERROR(1-_xlfn.PERCENTRANK.INC('Master Data'!$O$5:$O$204,'Master Data'!$O96),0)</f>
        <v>0.638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6" t="s">
        <v>10</v>
      </c>
      <c r="C97" s="7">
        <f>IFERROR(_xlfn.PERCENTRANK.INC('Master Data'!$C$5:$C$204,'Master Data'!$C97),0)</f>
        <v>0.809</v>
      </c>
      <c r="D97" s="7">
        <f>IFERROR(_xlfn.PERCENTRANK.INC('Master Data'!$D$5:$D$204,'Master Data'!$D97),0)</f>
        <v>0.477</v>
      </c>
      <c r="E97" s="7">
        <f>IFERROR(_xlfn.PERCENTRANK.INC('Master Data'!$E$5:$E$204,'Master Data'!$E97),0)</f>
        <v>0.628</v>
      </c>
      <c r="F97" s="7">
        <f>IFERROR(_xlfn.PERCENTRANK.INC('Master Data'!$F$5:$F$204,'Master Data'!$F97),0)</f>
        <v>0.829</v>
      </c>
      <c r="G97" s="7">
        <f>IFERROR(_xlfn.PERCENTRANK.INC('Master Data'!$G$5:$G$204,'Master Data'!$G97),0)</f>
        <v>0.754</v>
      </c>
      <c r="H97" s="7">
        <f>IFERROR(_xlfn.PERCENTRANK.INC('Master Data'!$H$5:$H$204,'Master Data'!$H97),0)</f>
        <v>0.819</v>
      </c>
      <c r="I97" s="7">
        <f>IFERROR(_xlfn.PERCENTRANK.INC('Master Data'!$I$5:$I$204,'Master Data'!$I97),0)</f>
        <v>0.729</v>
      </c>
      <c r="J97" s="7">
        <f>IFERROR(1-_xlfn.PERCENTRANK.INC('Master Data'!$J$5:$J$204,'Master Data'!$J97),0)</f>
        <v>0.859</v>
      </c>
      <c r="K97" s="7">
        <f>IFERROR(1-_xlfn.PERCENTRANK.INC('Master Data'!$K$5:$K$204,'Master Data'!$K97),0)</f>
        <v>0.824</v>
      </c>
      <c r="L97" s="7">
        <f>IFERROR(_xlfn.PERCENTRANK.INC('Master Data'!$L$5:$L$204,'Master Data'!$L97),0)</f>
        <v>0.894</v>
      </c>
      <c r="M97" s="7">
        <f>IFERROR(1-_xlfn.PERCENTRANK.INC('Master Data'!$M$5:$M$204,'Master Data'!$M97),0)</f>
        <v>0.819</v>
      </c>
      <c r="N97" s="7">
        <f>IFERROR(1-_xlfn.PERCENTRANK.INC('Master Data'!$N$5:$N$204,'Master Data'!$N97),0)</f>
        <v>0.799</v>
      </c>
      <c r="O97" s="7">
        <f>IFERROR(1-_xlfn.PERCENTRANK.INC('Master Data'!$O$5:$O$204,'Master Data'!$O97),0)</f>
        <v>0.749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6" t="s">
        <v>15</v>
      </c>
      <c r="C98" s="7">
        <f>IFERROR(_xlfn.PERCENTRANK.INC('Master Data'!$C$5:$C$204,'Master Data'!$C98),0)</f>
        <v>0.899</v>
      </c>
      <c r="D98" s="7">
        <f>IFERROR(_xlfn.PERCENTRANK.INC('Master Data'!$D$5:$D$204,'Master Data'!$D98),0)</f>
        <v>0.925</v>
      </c>
      <c r="E98" s="7">
        <f>IFERROR(_xlfn.PERCENTRANK.INC('Master Data'!$E$5:$E$204,'Master Data'!$E98),0)</f>
        <v>0.839</v>
      </c>
      <c r="F98" s="7">
        <f>IFERROR(_xlfn.PERCENTRANK.INC('Master Data'!$F$5:$F$204,'Master Data'!$F98),0)</f>
        <v>0.673</v>
      </c>
      <c r="G98" s="7">
        <f>IFERROR(_xlfn.PERCENTRANK.INC('Master Data'!$G$5:$G$204,'Master Data'!$G98),0)</f>
        <v>0.749</v>
      </c>
      <c r="H98" s="7">
        <f>IFERROR(_xlfn.PERCENTRANK.INC('Master Data'!$H$5:$H$204,'Master Data'!$H98),0)</f>
        <v>0.764</v>
      </c>
      <c r="I98" s="7">
        <f>IFERROR(_xlfn.PERCENTRANK.INC('Master Data'!$I$5:$I$204,'Master Data'!$I98),0)</f>
        <v>0.382</v>
      </c>
      <c r="J98" s="7">
        <f>IFERROR(1-_xlfn.PERCENTRANK.INC('Master Data'!$J$5:$J$204,'Master Data'!$J98),0)</f>
        <v>0.327</v>
      </c>
      <c r="K98" s="7">
        <f>IFERROR(1-_xlfn.PERCENTRANK.INC('Master Data'!$K$5:$K$204,'Master Data'!$K98),0)</f>
        <v>0.482</v>
      </c>
      <c r="L98" s="7">
        <f>IFERROR(_xlfn.PERCENTRANK.INC('Master Data'!$L$5:$L$204,'Master Data'!$L98),0)</f>
        <v>0.638</v>
      </c>
      <c r="M98" s="7">
        <f>IFERROR(1-_xlfn.PERCENTRANK.INC('Master Data'!$M$5:$M$204,'Master Data'!$M98),0)</f>
        <v>0.955</v>
      </c>
      <c r="N98" s="7">
        <f>IFERROR(1-_xlfn.PERCENTRANK.INC('Master Data'!$N$5:$N$204,'Master Data'!$N98),0)</f>
        <v>0.678</v>
      </c>
      <c r="O98" s="7">
        <f>IFERROR(1-_xlfn.PERCENTRANK.INC('Master Data'!$O$5:$O$204,'Master Data'!$O98),0)</f>
        <v>0.769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6" t="s">
        <v>148</v>
      </c>
      <c r="C99" s="7">
        <f>IFERROR(_xlfn.PERCENTRANK.INC('Master Data'!$C$5:$C$204,'Master Data'!$C99),0)</f>
        <v>0.819</v>
      </c>
      <c r="D99" s="7">
        <f>IFERROR(_xlfn.PERCENTRANK.INC('Master Data'!$D$5:$D$204,'Master Data'!$D99),0)</f>
        <v>0.643</v>
      </c>
      <c r="E99" s="7">
        <f>IFERROR(_xlfn.PERCENTRANK.INC('Master Data'!$E$5:$E$204,'Master Data'!$E99),0)</f>
        <v>0.302</v>
      </c>
      <c r="F99" s="7">
        <f>IFERROR(_xlfn.PERCENTRANK.INC('Master Data'!$F$5:$F$204,'Master Data'!$F99),0)</f>
        <v>0.201</v>
      </c>
      <c r="G99" s="7">
        <f>IFERROR(_xlfn.PERCENTRANK.INC('Master Data'!$G$5:$G$204,'Master Data'!$G99),0)</f>
        <v>0.377</v>
      </c>
      <c r="H99" s="7">
        <f>IFERROR(_xlfn.PERCENTRANK.INC('Master Data'!$H$5:$H$204,'Master Data'!$H99),0)</f>
        <v>0.166</v>
      </c>
      <c r="I99" s="7">
        <f>IFERROR(_xlfn.PERCENTRANK.INC('Master Data'!$I$5:$I$204,'Master Data'!$I99),0)</f>
        <v>0.095</v>
      </c>
      <c r="J99" s="7">
        <f>IFERROR(1-_xlfn.PERCENTRANK.INC('Master Data'!$J$5:$J$204,'Master Data'!$J99),0)</f>
        <v>0.065</v>
      </c>
      <c r="K99" s="7">
        <f>IFERROR(1-_xlfn.PERCENTRANK.INC('Master Data'!$K$5:$K$204,'Master Data'!$K99),0)</f>
        <v>0.075</v>
      </c>
      <c r="L99" s="7">
        <f>IFERROR(_xlfn.PERCENTRANK.INC('Master Data'!$L$5:$L$204,'Master Data'!$L99),0)</f>
        <v>0.126</v>
      </c>
      <c r="M99" s="7">
        <f>IFERROR(1-_xlfn.PERCENTRANK.INC('Master Data'!$M$5:$M$204,'Master Data'!$M99),0)</f>
        <v>0.739</v>
      </c>
      <c r="N99" s="7">
        <f>IFERROR(1-_xlfn.PERCENTRANK.INC('Master Data'!$N$5:$N$204,'Master Data'!$N99),0)</f>
        <v>0.759</v>
      </c>
      <c r="O99" s="7">
        <f>IFERROR(1-_xlfn.PERCENTRANK.INC('Master Data'!$O$5:$O$204,'Master Data'!$O99),0)</f>
        <v>0.985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6" t="s">
        <v>17</v>
      </c>
      <c r="C100" s="7">
        <f>IFERROR(_xlfn.PERCENTRANK.INC('Master Data'!$C$5:$C$204,'Master Data'!$C100),0)</f>
        <v>0.774</v>
      </c>
      <c r="D100" s="7">
        <f>IFERROR(_xlfn.PERCENTRANK.INC('Master Data'!$D$5:$D$204,'Master Data'!$D100),0)</f>
        <v>0.915</v>
      </c>
      <c r="E100" s="7">
        <f>IFERROR(_xlfn.PERCENTRANK.INC('Master Data'!$E$5:$E$204,'Master Data'!$E100),0)</f>
        <v>0.794</v>
      </c>
      <c r="F100" s="7">
        <f>IFERROR(_xlfn.PERCENTRANK.INC('Master Data'!$F$5:$F$204,'Master Data'!$F100),0)</f>
        <v>0.598</v>
      </c>
      <c r="G100" s="7">
        <f>IFERROR(_xlfn.PERCENTRANK.INC('Master Data'!$G$5:$G$204,'Master Data'!$G100),0)</f>
        <v>0.472</v>
      </c>
      <c r="H100" s="7">
        <f>IFERROR(_xlfn.PERCENTRANK.INC('Master Data'!$H$5:$H$204,'Master Data'!$H100),0)</f>
        <v>0.769</v>
      </c>
      <c r="I100" s="7">
        <f>IFERROR(_xlfn.PERCENTRANK.INC('Master Data'!$I$5:$I$204,'Master Data'!$I100),0)</f>
        <v>0.025</v>
      </c>
      <c r="J100" s="7">
        <f>IFERROR(1-_xlfn.PERCENTRANK.INC('Master Data'!$J$5:$J$204,'Master Data'!$J100),0)</f>
        <v>0.894</v>
      </c>
      <c r="K100" s="7">
        <f>IFERROR(1-_xlfn.PERCENTRANK.INC('Master Data'!$K$5:$K$204,'Master Data'!$K100),0)</f>
        <v>0.764</v>
      </c>
      <c r="L100" s="7">
        <f>IFERROR(_xlfn.PERCENTRANK.INC('Master Data'!$L$5:$L$204,'Master Data'!$L100),0)</f>
        <v>0.834</v>
      </c>
      <c r="M100" s="7">
        <f>IFERROR(1-_xlfn.PERCENTRANK.INC('Master Data'!$M$5:$M$204,'Master Data'!$M100),0)</f>
        <v>0.116</v>
      </c>
      <c r="N100" s="7">
        <f>IFERROR(1-_xlfn.PERCENTRANK.INC('Master Data'!$N$5:$N$204,'Master Data'!$N100),0)</f>
        <v>0.955</v>
      </c>
      <c r="O100" s="7">
        <f>IFERROR(1-_xlfn.PERCENTRANK.INC('Master Data'!$O$5:$O$204,'Master Data'!$O100),0)</f>
        <v>0.709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6" t="s">
        <v>16</v>
      </c>
      <c r="C101" s="7">
        <f>IFERROR(_xlfn.PERCENTRANK.INC('Master Data'!$C$5:$C$204,'Master Data'!$C101),0)</f>
        <v>0.533</v>
      </c>
      <c r="D101" s="7">
        <f>IFERROR(_xlfn.PERCENTRANK.INC('Master Data'!$D$5:$D$204,'Master Data'!$D101),0)</f>
        <v>0.412</v>
      </c>
      <c r="E101" s="7">
        <f>IFERROR(_xlfn.PERCENTRANK.INC('Master Data'!$E$5:$E$204,'Master Data'!$E101),0)</f>
        <v>0.397</v>
      </c>
      <c r="F101" s="7">
        <f>IFERROR(_xlfn.PERCENTRANK.INC('Master Data'!$F$5:$F$204,'Master Data'!$F101),0)</f>
        <v>0.905</v>
      </c>
      <c r="G101" s="7">
        <f>IFERROR(_xlfn.PERCENTRANK.INC('Master Data'!$G$5:$G$204,'Master Data'!$G101),0)</f>
        <v>0.905</v>
      </c>
      <c r="H101" s="7">
        <f>IFERROR(_xlfn.PERCENTRANK.INC('Master Data'!$H$5:$H$204,'Master Data'!$H101),0)</f>
        <v>0.93</v>
      </c>
      <c r="I101" s="7">
        <f>IFERROR(_xlfn.PERCENTRANK.INC('Master Data'!$I$5:$I$204,'Master Data'!$I101),0)</f>
        <v>0.789</v>
      </c>
      <c r="J101" s="7">
        <f>IFERROR(1-_xlfn.PERCENTRANK.INC('Master Data'!$J$5:$J$204,'Master Data'!$J101),0)</f>
        <v>0.779</v>
      </c>
      <c r="K101" s="7">
        <f>IFERROR(1-_xlfn.PERCENTRANK.INC('Master Data'!$K$5:$K$204,'Master Data'!$K101),0)</f>
        <v>0.754</v>
      </c>
      <c r="L101" s="7">
        <f>IFERROR(_xlfn.PERCENTRANK.INC('Master Data'!$L$5:$L$204,'Master Data'!$L101),0)</f>
        <v>0.864</v>
      </c>
      <c r="M101" s="7">
        <f>IFERROR(1-_xlfn.PERCENTRANK.INC('Master Data'!$M$5:$M$204,'Master Data'!$M101),0)</f>
        <v>0.693</v>
      </c>
      <c r="N101" s="7">
        <f>IFERROR(1-_xlfn.PERCENTRANK.INC('Master Data'!$N$5:$N$204,'Master Data'!$N101),0)</f>
        <v>0.889</v>
      </c>
      <c r="O101" s="7">
        <f>IFERROR(1-_xlfn.PERCENTRANK.INC('Master Data'!$O$5:$O$204,'Master Data'!$O101),0)</f>
        <v>0.387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6" t="s">
        <v>144</v>
      </c>
      <c r="C102" s="7">
        <f>IFERROR(_xlfn.PERCENTRANK.INC('Master Data'!$C$5:$C$204,'Master Data'!$C102),0)</f>
        <v>0.879</v>
      </c>
      <c r="D102" s="7">
        <f>IFERROR(_xlfn.PERCENTRANK.INC('Master Data'!$D$5:$D$204,'Master Data'!$D102),0)</f>
        <v>0.864</v>
      </c>
      <c r="E102" s="7">
        <f>IFERROR(_xlfn.PERCENTRANK.INC('Master Data'!$E$5:$E$204,'Master Data'!$E102),0)</f>
        <v>0.648</v>
      </c>
      <c r="F102" s="7">
        <f>IFERROR(_xlfn.PERCENTRANK.INC('Master Data'!$F$5:$F$204,'Master Data'!$F102),0)</f>
        <v>0.427</v>
      </c>
      <c r="G102" s="7">
        <f>IFERROR(_xlfn.PERCENTRANK.INC('Master Data'!$G$5:$G$204,'Master Data'!$G102),0)</f>
        <v>0</v>
      </c>
      <c r="H102" s="7">
        <f>IFERROR(_xlfn.PERCENTRANK.INC('Master Data'!$H$5:$H$204,'Master Data'!$H102),0)</f>
        <v>0.146</v>
      </c>
      <c r="I102" s="7">
        <f>IFERROR(_xlfn.PERCENTRANK.INC('Master Data'!$I$5:$I$204,'Master Data'!$I102),0)</f>
        <v>0.618</v>
      </c>
      <c r="J102" s="7">
        <f>IFERROR(1-_xlfn.PERCENTRANK.INC('Master Data'!$J$5:$J$204,'Master Data'!$J102),0)</f>
        <v>0</v>
      </c>
      <c r="K102" s="7">
        <f>IFERROR(1-_xlfn.PERCENTRANK.INC('Master Data'!$K$5:$K$204,'Master Data'!$K102),0)</f>
        <v>0</v>
      </c>
      <c r="L102" s="7">
        <f>IFERROR(_xlfn.PERCENTRANK.INC('Master Data'!$L$5:$L$204,'Master Data'!$L102),0)</f>
        <v>0.221</v>
      </c>
      <c r="M102" s="7">
        <f>IFERROR(1-_xlfn.PERCENTRANK.INC('Master Data'!$M$5:$M$204,'Master Data'!$M102),0)</f>
        <v>0.804</v>
      </c>
      <c r="N102" s="7">
        <f>IFERROR(1-_xlfn.PERCENTRANK.INC('Master Data'!$N$5:$N$204,'Master Data'!$N102),0)</f>
        <v>0.854</v>
      </c>
      <c r="O102" s="7">
        <f>IFERROR(1-_xlfn.PERCENTRANK.INC('Master Data'!$O$5:$O$204,'Master Data'!$O102),0)</f>
        <v>0.055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6" t="s">
        <v>132</v>
      </c>
      <c r="C103" s="7">
        <f>IFERROR(_xlfn.PERCENTRANK.INC('Master Data'!$C$5:$C$204,'Master Data'!$C103),0)</f>
        <v>0.291</v>
      </c>
      <c r="D103" s="7">
        <f>IFERROR(_xlfn.PERCENTRANK.INC('Master Data'!$D$5:$D$204,'Master Data'!$D103),0)</f>
        <v>0.688</v>
      </c>
      <c r="E103" s="7">
        <f>IFERROR(_xlfn.PERCENTRANK.INC('Master Data'!$E$5:$E$204,'Master Data'!$E103),0)</f>
        <v>0.98</v>
      </c>
      <c r="F103" s="7">
        <f>IFERROR(_xlfn.PERCENTRANK.INC('Master Data'!$F$5:$F$204,'Master Data'!$F103),0)</f>
        <v>0.342</v>
      </c>
      <c r="G103" s="7">
        <f>IFERROR(_xlfn.PERCENTRANK.INC('Master Data'!$G$5:$G$204,'Master Data'!$G103),0)</f>
        <v>0.407</v>
      </c>
      <c r="H103" s="7">
        <f>IFERROR(_xlfn.PERCENTRANK.INC('Master Data'!$H$5:$H$204,'Master Data'!$H103),0)</f>
        <v>0.387</v>
      </c>
      <c r="I103" s="7">
        <f>IFERROR(_xlfn.PERCENTRANK.INC('Master Data'!$I$5:$I$204,'Master Data'!$I103),0)</f>
        <v>0.181</v>
      </c>
      <c r="J103" s="7">
        <f>IFERROR(1-_xlfn.PERCENTRANK.INC('Master Data'!$J$5:$J$204,'Master Data'!$J103),0)</f>
        <v>0.176</v>
      </c>
      <c r="K103" s="7">
        <f>IFERROR(1-_xlfn.PERCENTRANK.INC('Master Data'!$K$5:$K$204,'Master Data'!$K103),0)</f>
        <v>0.106</v>
      </c>
      <c r="L103" s="7">
        <f>IFERROR(_xlfn.PERCENTRANK.INC('Master Data'!$L$5:$L$204,'Master Data'!$L103),0)</f>
        <v>0.281</v>
      </c>
      <c r="M103" s="7">
        <f>IFERROR(1-_xlfn.PERCENTRANK.INC('Master Data'!$M$5:$M$204,'Master Data'!$M103),0)</f>
        <v>0.337</v>
      </c>
      <c r="N103" s="7">
        <f>IFERROR(1-_xlfn.PERCENTRANK.INC('Master Data'!$N$5:$N$204,'Master Data'!$N103),0)</f>
        <v>0.719</v>
      </c>
      <c r="O103" s="7">
        <f>IFERROR(1-_xlfn.PERCENTRANK.INC('Master Data'!$O$5:$O$204,'Master Data'!$O103),0)</f>
        <v>0.859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6" t="s">
        <v>143</v>
      </c>
      <c r="C104" s="7">
        <f>IFERROR(_xlfn.PERCENTRANK.INC('Master Data'!$C$5:$C$204,'Master Data'!$C104),0)</f>
        <v>0.03</v>
      </c>
      <c r="D104" s="7">
        <f>IFERROR(_xlfn.PERCENTRANK.INC('Master Data'!$D$5:$D$204,'Master Data'!$D104),0)</f>
        <v>0.05</v>
      </c>
      <c r="E104" s="7">
        <f>IFERROR(_xlfn.PERCENTRANK.INC('Master Data'!$E$5:$E$204,'Master Data'!$E104),0)</f>
        <v>0.04</v>
      </c>
      <c r="F104" s="7">
        <f>IFERROR(_xlfn.PERCENTRANK.INC('Master Data'!$F$5:$F$204,'Master Data'!$F104),0)</f>
        <v>0.211</v>
      </c>
      <c r="G104" s="7">
        <f>IFERROR(_xlfn.PERCENTRANK.INC('Master Data'!$G$5:$G$204,'Master Data'!$G104),0)</f>
        <v>0.176</v>
      </c>
      <c r="H104" s="7">
        <f>IFERROR(_xlfn.PERCENTRANK.INC('Master Data'!$H$5:$H$204,'Master Data'!$H104),0)</f>
        <v>0.412</v>
      </c>
      <c r="I104" s="7">
        <f>IFERROR(_xlfn.PERCENTRANK.INC('Master Data'!$I$5:$I$204,'Master Data'!$I104),0)</f>
        <v>0.628</v>
      </c>
      <c r="J104" s="7">
        <f>IFERROR(1-_xlfn.PERCENTRANK.INC('Master Data'!$J$5:$J$204,'Master Data'!$J104),0)</f>
        <v>0.864</v>
      </c>
      <c r="K104" s="7">
        <f>IFERROR(1-_xlfn.PERCENTRANK.INC('Master Data'!$K$5:$K$204,'Master Data'!$K104),0)</f>
        <v>0.749</v>
      </c>
      <c r="L104" s="7">
        <f>IFERROR(_xlfn.PERCENTRANK.INC('Master Data'!$L$5:$L$204,'Master Data'!$L104),0)</f>
        <v>0.593</v>
      </c>
      <c r="M104" s="7">
        <f>IFERROR(1-_xlfn.PERCENTRANK.INC('Master Data'!$M$5:$M$204,'Master Data'!$M104),0)</f>
        <v>0.422</v>
      </c>
      <c r="N104" s="7">
        <f>IFERROR(1-_xlfn.PERCENTRANK.INC('Master Data'!$N$5:$N$204,'Master Data'!$N104),0)</f>
        <v>0.739</v>
      </c>
      <c r="O104" s="7">
        <f>IFERROR(1-_xlfn.PERCENTRANK.INC('Master Data'!$O$5:$O$204,'Master Data'!$O104),0)</f>
        <v>0.673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6" t="s">
        <v>24</v>
      </c>
      <c r="C105" s="7">
        <f>IFERROR(_xlfn.PERCENTRANK.INC('Master Data'!$C$5:$C$204,'Master Data'!$C105),0)</f>
        <v>0.317</v>
      </c>
      <c r="D105" s="7">
        <f>IFERROR(_xlfn.PERCENTRANK.INC('Master Data'!$D$5:$D$204,'Master Data'!$D105),0)</f>
        <v>0.317</v>
      </c>
      <c r="E105" s="7">
        <f>IFERROR(_xlfn.PERCENTRANK.INC('Master Data'!$E$5:$E$204,'Master Data'!$E105),0)</f>
        <v>0.663</v>
      </c>
      <c r="F105" s="7">
        <f>IFERROR(_xlfn.PERCENTRANK.INC('Master Data'!$F$5:$F$204,'Master Data'!$F105),0)</f>
        <v>0.91</v>
      </c>
      <c r="G105" s="7">
        <f>IFERROR(_xlfn.PERCENTRANK.INC('Master Data'!$G$5:$G$204,'Master Data'!$G105),0)</f>
        <v>0.899</v>
      </c>
      <c r="H105" s="7">
        <f>IFERROR(_xlfn.PERCENTRANK.INC('Master Data'!$H$5:$H$204,'Master Data'!$H105),0)</f>
        <v>0.95</v>
      </c>
      <c r="I105" s="7">
        <f>IFERROR(_xlfn.PERCENTRANK.INC('Master Data'!$I$5:$I$204,'Master Data'!$I105),0)</f>
        <v>0.296</v>
      </c>
      <c r="J105" s="7">
        <f>IFERROR(1-_xlfn.PERCENTRANK.INC('Master Data'!$J$5:$J$204,'Master Data'!$J105),0)</f>
        <v>0.945</v>
      </c>
      <c r="K105" s="7">
        <f>IFERROR(1-_xlfn.PERCENTRANK.INC('Master Data'!$K$5:$K$204,'Master Data'!$K105),0)</f>
        <v>0.894</v>
      </c>
      <c r="L105" s="7">
        <f>IFERROR(_xlfn.PERCENTRANK.INC('Master Data'!$L$5:$L$204,'Master Data'!$L105),0)</f>
        <v>0.94</v>
      </c>
      <c r="M105" s="7">
        <f>IFERROR(1-_xlfn.PERCENTRANK.INC('Master Data'!$M$5:$M$204,'Master Data'!$M105),0)</f>
        <v>0.603</v>
      </c>
      <c r="N105" s="7">
        <f>IFERROR(1-_xlfn.PERCENTRANK.INC('Master Data'!$N$5:$N$204,'Master Data'!$N105),0)</f>
        <v>0.653</v>
      </c>
      <c r="O105" s="7">
        <f>IFERROR(1-_xlfn.PERCENTRANK.INC('Master Data'!$O$5:$O$204,'Master Data'!$O105),0)</f>
        <v>0.372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6" t="s">
        <v>110</v>
      </c>
      <c r="C106" s="7">
        <f>IFERROR(_xlfn.PERCENTRANK.INC('Master Data'!$C$5:$C$204,'Master Data'!$C106),0)</f>
        <v>0.749</v>
      </c>
      <c r="D106" s="7">
        <f>IFERROR(_xlfn.PERCENTRANK.INC('Master Data'!$D$5:$D$204,'Master Data'!$D106),0)</f>
        <v>0.698</v>
      </c>
      <c r="E106" s="7">
        <f>IFERROR(_xlfn.PERCENTRANK.INC('Master Data'!$E$5:$E$204,'Master Data'!$E106),0)</f>
        <v>0.04</v>
      </c>
      <c r="F106" s="7">
        <f>IFERROR(_xlfn.PERCENTRANK.INC('Master Data'!$F$5:$F$204,'Master Data'!$F106),0)</f>
        <v>0.367</v>
      </c>
      <c r="G106" s="7">
        <f>IFERROR(_xlfn.PERCENTRANK.INC('Master Data'!$G$5:$G$204,'Master Data'!$G106),0)</f>
        <v>0.216</v>
      </c>
      <c r="H106" s="7">
        <f>IFERROR(_xlfn.PERCENTRANK.INC('Master Data'!$H$5:$H$204,'Master Data'!$H106),0)</f>
        <v>0.367</v>
      </c>
      <c r="I106" s="7">
        <f>IFERROR(_xlfn.PERCENTRANK.INC('Master Data'!$I$5:$I$204,'Master Data'!$I106),0)</f>
        <v>0.452</v>
      </c>
      <c r="J106" s="7">
        <f>IFERROR(1-_xlfn.PERCENTRANK.INC('Master Data'!$J$5:$J$204,'Master Data'!$J106),0)</f>
        <v>0.332</v>
      </c>
      <c r="K106" s="7">
        <f>IFERROR(1-_xlfn.PERCENTRANK.INC('Master Data'!$K$5:$K$204,'Master Data'!$K106),0)</f>
        <v>0.332</v>
      </c>
      <c r="L106" s="7">
        <f>IFERROR(_xlfn.PERCENTRANK.INC('Master Data'!$L$5:$L$204,'Master Data'!$L106),0)</f>
        <v>0.332</v>
      </c>
      <c r="M106" s="7">
        <f>IFERROR(1-_xlfn.PERCENTRANK.INC('Master Data'!$M$5:$M$204,'Master Data'!$M106),0)</f>
        <v>0.894</v>
      </c>
      <c r="N106" s="7">
        <f>IFERROR(1-_xlfn.PERCENTRANK.INC('Master Data'!$N$5:$N$204,'Master Data'!$N106),0)</f>
        <v>0.789</v>
      </c>
      <c r="O106" s="7">
        <f>IFERROR(1-_xlfn.PERCENTRANK.INC('Master Data'!$O$5:$O$204,'Master Data'!$O106),0)</f>
        <v>0.854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6" t="s">
        <v>206</v>
      </c>
      <c r="C107" s="7">
        <f>IFERROR(_xlfn.PERCENTRANK.INC('Master Data'!$C$5:$C$204,'Master Data'!$C107),0)</f>
        <v>0.03</v>
      </c>
      <c r="D107" s="7">
        <f>IFERROR(_xlfn.PERCENTRANK.INC('Master Data'!$D$5:$D$204,'Master Data'!$D107),0)</f>
        <v>0.05</v>
      </c>
      <c r="E107" s="7">
        <f>IFERROR(_xlfn.PERCENTRANK.INC('Master Data'!$E$5:$E$204,'Master Data'!$E107),0)</f>
        <v>0.04</v>
      </c>
      <c r="F107" s="7">
        <f>IFERROR(_xlfn.PERCENTRANK.INC('Master Data'!$F$5:$F$204,'Master Data'!$F107),0)</f>
        <v>0.08</v>
      </c>
      <c r="G107" s="7">
        <f>IFERROR(_xlfn.PERCENTRANK.INC('Master Data'!$G$5:$G$204,'Master Data'!$G107),0)</f>
        <v>0.095</v>
      </c>
      <c r="H107" s="7">
        <f>IFERROR(_xlfn.PERCENTRANK.INC('Master Data'!$H$5:$H$204,'Master Data'!$H107),0)</f>
        <v>0.256</v>
      </c>
      <c r="I107" s="7">
        <f>IFERROR(_xlfn.PERCENTRANK.INC('Master Data'!$I$5:$I$204,'Master Data'!$I107),0)</f>
        <v>0.005</v>
      </c>
      <c r="J107" s="7">
        <f>IFERROR(1-_xlfn.PERCENTRANK.INC('Master Data'!$J$5:$J$204,'Master Data'!$J107),0)</f>
        <v>0.276</v>
      </c>
      <c r="K107" s="7">
        <f>IFERROR(1-_xlfn.PERCENTRANK.INC('Master Data'!$K$5:$K$204,'Master Data'!$K107),0)</f>
        <v>0.382</v>
      </c>
      <c r="L107" s="7">
        <f>IFERROR(_xlfn.PERCENTRANK.INC('Master Data'!$L$5:$L$204,'Master Data'!$L107),0)</f>
        <v>0.518</v>
      </c>
      <c r="M107" s="7">
        <f>IFERROR(1-_xlfn.PERCENTRANK.INC('Master Data'!$M$5:$M$204,'Master Data'!$M107),0)</f>
        <v>0.03</v>
      </c>
      <c r="N107" s="7">
        <f>IFERROR(1-_xlfn.PERCENTRANK.INC('Master Data'!$N$5:$N$204,'Master Data'!$N107),0)</f>
        <v>0.09</v>
      </c>
      <c r="O107" s="7">
        <f>IFERROR(1-_xlfn.PERCENTRANK.INC('Master Data'!$O$5:$O$204,'Master Data'!$O107),0)</f>
        <v>0.497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6" t="s">
        <v>204</v>
      </c>
      <c r="C108" s="7">
        <f>IFERROR(_xlfn.PERCENTRANK.INC('Master Data'!$C$5:$C$204,'Master Data'!$C108),0)</f>
        <v>0.005</v>
      </c>
      <c r="D108" s="7">
        <f>IFERROR(_xlfn.PERCENTRANK.INC('Master Data'!$D$5:$D$204,'Master Data'!$D108),0)</f>
        <v>0.01</v>
      </c>
      <c r="E108" s="7">
        <f>IFERROR(_xlfn.PERCENTRANK.INC('Master Data'!$E$5:$E$204,'Master Data'!$E108),0)</f>
        <v>0.261</v>
      </c>
      <c r="F108" s="7">
        <f>IFERROR(_xlfn.PERCENTRANK.INC('Master Data'!$F$5:$F$204,'Master Data'!$F108),0)</f>
        <v>0.161</v>
      </c>
      <c r="G108" s="7">
        <f>IFERROR(_xlfn.PERCENTRANK.INC('Master Data'!$G$5:$G$204,'Master Data'!$G108),0)</f>
        <v>0.106</v>
      </c>
      <c r="H108" s="7">
        <f>IFERROR(_xlfn.PERCENTRANK.INC('Master Data'!$H$5:$H$204,'Master Data'!$H108),0)</f>
        <v>0.226</v>
      </c>
      <c r="I108" s="7">
        <f>IFERROR(_xlfn.PERCENTRANK.INC('Master Data'!$I$5:$I$204,'Master Data'!$I108),0)</f>
        <v>0.186</v>
      </c>
      <c r="J108" s="7">
        <f>IFERROR(1-_xlfn.PERCENTRANK.INC('Master Data'!$J$5:$J$204,'Master Data'!$J108),0)</f>
        <v>0.462</v>
      </c>
      <c r="K108" s="7">
        <f>IFERROR(1-_xlfn.PERCENTRANK.INC('Master Data'!$K$5:$K$204,'Master Data'!$K108),0)</f>
        <v>0.281</v>
      </c>
      <c r="L108" s="7">
        <f>IFERROR(_xlfn.PERCENTRANK.INC('Master Data'!$L$5:$L$204,'Master Data'!$L108),0)</f>
        <v>0.286</v>
      </c>
      <c r="M108" s="7">
        <f>IFERROR(1-_xlfn.PERCENTRANK.INC('Master Data'!$M$5:$M$204,'Master Data'!$M108),0)</f>
        <v>0.121</v>
      </c>
      <c r="N108" s="7">
        <f>IFERROR(1-_xlfn.PERCENTRANK.INC('Master Data'!$N$5:$N$204,'Master Data'!$N108),0)</f>
        <v>0.146</v>
      </c>
      <c r="O108" s="7">
        <f>IFERROR(1-_xlfn.PERCENTRANK.INC('Master Data'!$O$5:$O$204,'Master Data'!$O108),0)</f>
        <v>0.628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6" t="s">
        <v>111</v>
      </c>
      <c r="C109" s="7">
        <f>IFERROR(_xlfn.PERCENTRANK.INC('Master Data'!$C$5:$C$204,'Master Data'!$C109),0)</f>
        <v>0.729</v>
      </c>
      <c r="D109" s="7">
        <f>IFERROR(_xlfn.PERCENTRANK.INC('Master Data'!$D$5:$D$204,'Master Data'!$D109),0)</f>
        <v>0.563</v>
      </c>
      <c r="E109" s="7">
        <f>IFERROR(_xlfn.PERCENTRANK.INC('Master Data'!$E$5:$E$204,'Master Data'!$E109),0)</f>
        <v>0.04</v>
      </c>
      <c r="F109" s="7">
        <f>IFERROR(_xlfn.PERCENTRANK.INC('Master Data'!$F$5:$F$204,'Master Data'!$F109),0)</f>
        <v>0.523</v>
      </c>
      <c r="G109" s="7">
        <f>IFERROR(_xlfn.PERCENTRANK.INC('Master Data'!$G$5:$G$204,'Master Data'!$G109),0)</f>
        <v>0.593</v>
      </c>
      <c r="H109" s="7">
        <f>IFERROR(_xlfn.PERCENTRANK.INC('Master Data'!$H$5:$H$204,'Master Data'!$H109),0)</f>
        <v>0.452</v>
      </c>
      <c r="I109" s="7">
        <f>IFERROR(_xlfn.PERCENTRANK.INC('Master Data'!$I$5:$I$204,'Master Data'!$I109),0)</f>
        <v>0.538</v>
      </c>
      <c r="J109" s="7">
        <f>IFERROR(1-_xlfn.PERCENTRANK.INC('Master Data'!$J$5:$J$204,'Master Data'!$J109),0)</f>
        <v>0.226</v>
      </c>
      <c r="K109" s="7">
        <f>IFERROR(1-_xlfn.PERCENTRANK.INC('Master Data'!$K$5:$K$204,'Master Data'!$K109),0)</f>
        <v>0.322</v>
      </c>
      <c r="L109" s="7">
        <f>IFERROR(_xlfn.PERCENTRANK.INC('Master Data'!$L$5:$L$204,'Master Data'!$L109),0)</f>
        <v>0.291</v>
      </c>
      <c r="M109" s="7">
        <f>IFERROR(1-_xlfn.PERCENTRANK.INC('Master Data'!$M$5:$M$204,'Master Data'!$M109),0)</f>
        <v>0.749</v>
      </c>
      <c r="N109" s="7">
        <f>IFERROR(1-_xlfn.PERCENTRANK.INC('Master Data'!$N$5:$N$204,'Master Data'!$N109),0)</f>
        <v>0.814</v>
      </c>
      <c r="O109" s="7">
        <f>IFERROR(1-_xlfn.PERCENTRANK.INC('Master Data'!$O$5:$O$204,'Master Data'!$O109),0)</f>
        <v>0.734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6" t="s">
        <v>117</v>
      </c>
      <c r="C110" s="7">
        <f>IFERROR(_xlfn.PERCENTRANK.INC('Master Data'!$C$5:$C$204,'Master Data'!$C110),0)</f>
        <v>0.538</v>
      </c>
      <c r="D110" s="7">
        <f>IFERROR(_xlfn.PERCENTRANK.INC('Master Data'!$D$5:$D$204,'Master Data'!$D110),0)</f>
        <v>0.769</v>
      </c>
      <c r="E110" s="7">
        <f>IFERROR(_xlfn.PERCENTRANK.INC('Master Data'!$E$5:$E$204,'Master Data'!$E110),0)</f>
        <v>0.362</v>
      </c>
      <c r="F110" s="7">
        <f>IFERROR(_xlfn.PERCENTRANK.INC('Master Data'!$F$5:$F$204,'Master Data'!$F110),0)</f>
        <v>0.648</v>
      </c>
      <c r="G110" s="7">
        <f>IFERROR(_xlfn.PERCENTRANK.INC('Master Data'!$G$5:$G$204,'Master Data'!$G110),0)</f>
        <v>0.628</v>
      </c>
      <c r="H110" s="7">
        <f>IFERROR(_xlfn.PERCENTRANK.INC('Master Data'!$H$5:$H$204,'Master Data'!$H110),0)</f>
        <v>0.623</v>
      </c>
      <c r="I110" s="7">
        <f>IFERROR(_xlfn.PERCENTRANK.INC('Master Data'!$I$5:$I$204,'Master Data'!$I110),0)</f>
        <v>0.704</v>
      </c>
      <c r="J110" s="7">
        <f>IFERROR(1-_xlfn.PERCENTRANK.INC('Master Data'!$J$5:$J$204,'Master Data'!$J110),0)</f>
        <v>0.221</v>
      </c>
      <c r="K110" s="7">
        <f>IFERROR(1-_xlfn.PERCENTRANK.INC('Master Data'!$K$5:$K$204,'Master Data'!$K110),0)</f>
        <v>0.402</v>
      </c>
      <c r="L110" s="7">
        <f>IFERROR(_xlfn.PERCENTRANK.INC('Master Data'!$L$5:$L$204,'Master Data'!$L110),0)</f>
        <v>0.276</v>
      </c>
      <c r="M110" s="7">
        <f>IFERROR(1-_xlfn.PERCENTRANK.INC('Master Data'!$M$5:$M$204,'Master Data'!$M110),0)</f>
        <v>0.357</v>
      </c>
      <c r="N110" s="7">
        <f>IFERROR(1-_xlfn.PERCENTRANK.INC('Master Data'!$N$5:$N$204,'Master Data'!$N110),0)</f>
        <v>0.945</v>
      </c>
      <c r="O110" s="7">
        <f>IFERROR(1-_xlfn.PERCENTRANK.INC('Master Data'!$O$5:$O$204,'Master Data'!$O110),0)</f>
        <v>0.07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6" t="s">
        <v>130</v>
      </c>
      <c r="C111" s="7">
        <f>IFERROR(_xlfn.PERCENTRANK.INC('Master Data'!$C$5:$C$204,'Master Data'!$C111),0)</f>
        <v>0.578</v>
      </c>
      <c r="D111" s="7">
        <f>IFERROR(_xlfn.PERCENTRANK.INC('Master Data'!$D$5:$D$204,'Master Data'!$D111),0)</f>
        <v>0.879</v>
      </c>
      <c r="E111" s="7">
        <f>IFERROR(_xlfn.PERCENTRANK.INC('Master Data'!$E$5:$E$204,'Master Data'!$E111),0)</f>
        <v>0.985</v>
      </c>
      <c r="F111" s="7">
        <f>IFERROR(_xlfn.PERCENTRANK.INC('Master Data'!$F$5:$F$204,'Master Data'!$F111),0)</f>
        <v>0.397</v>
      </c>
      <c r="G111" s="7">
        <f>IFERROR(_xlfn.PERCENTRANK.INC('Master Data'!$G$5:$G$204,'Master Data'!$G111),0)</f>
        <v>0.246</v>
      </c>
      <c r="H111" s="7">
        <f>IFERROR(_xlfn.PERCENTRANK.INC('Master Data'!$H$5:$H$204,'Master Data'!$H111),0)</f>
        <v>0.296</v>
      </c>
      <c r="I111" s="7">
        <f>IFERROR(_xlfn.PERCENTRANK.INC('Master Data'!$I$5:$I$204,'Master Data'!$I111),0)</f>
        <v>0.94</v>
      </c>
      <c r="J111" s="7">
        <f>IFERROR(1-_xlfn.PERCENTRANK.INC('Master Data'!$J$5:$J$204,'Master Data'!$J111),0)</f>
        <v>0.241</v>
      </c>
      <c r="K111" s="7">
        <f>IFERROR(1-_xlfn.PERCENTRANK.INC('Master Data'!$K$5:$K$204,'Master Data'!$K111),0)</f>
        <v>0.276</v>
      </c>
      <c r="L111" s="7">
        <f>IFERROR(_xlfn.PERCENTRANK.INC('Master Data'!$L$5:$L$204,'Master Data'!$L111),0)</f>
        <v>0.241</v>
      </c>
      <c r="M111" s="7">
        <f>IFERROR(1-_xlfn.PERCENTRANK.INC('Master Data'!$M$5:$M$204,'Master Data'!$M111),0)</f>
        <v>0.367</v>
      </c>
      <c r="N111" s="7">
        <f>IFERROR(1-_xlfn.PERCENTRANK.INC('Master Data'!$N$5:$N$204,'Master Data'!$N111),0)</f>
        <v>0.206</v>
      </c>
      <c r="O111" s="7">
        <f>IFERROR(1-_xlfn.PERCENTRANK.INC('Master Data'!$O$5:$O$204,'Master Data'!$O111),0)</f>
        <v>0.276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6" t="s">
        <v>42</v>
      </c>
      <c r="C112" s="7">
        <f>IFERROR(_xlfn.PERCENTRANK.INC('Master Data'!$C$5:$C$204,'Master Data'!$C112),0)</f>
        <v>0.824</v>
      </c>
      <c r="D112" s="7">
        <f>IFERROR(_xlfn.PERCENTRANK.INC('Master Data'!$D$5:$D$204,'Master Data'!$D112),0)</f>
        <v>0.749</v>
      </c>
      <c r="E112" s="7">
        <f>IFERROR(_xlfn.PERCENTRANK.INC('Master Data'!$E$5:$E$204,'Master Data'!$E112),0)</f>
        <v>0.92</v>
      </c>
      <c r="F112" s="7">
        <f>IFERROR(_xlfn.PERCENTRANK.INC('Master Data'!$F$5:$F$204,'Master Data'!$F112),0)</f>
        <v>0.754</v>
      </c>
      <c r="G112" s="7">
        <f>IFERROR(_xlfn.PERCENTRANK.INC('Master Data'!$G$5:$G$204,'Master Data'!$G112),0)</f>
        <v>0.744</v>
      </c>
      <c r="H112" s="7">
        <f>IFERROR(_xlfn.PERCENTRANK.INC('Master Data'!$H$5:$H$204,'Master Data'!$H112),0)</f>
        <v>0.658</v>
      </c>
      <c r="I112" s="7">
        <f>IFERROR(_xlfn.PERCENTRANK.INC('Master Data'!$I$5:$I$204,'Master Data'!$I112),0)</f>
        <v>0.91</v>
      </c>
      <c r="J112" s="7">
        <f>IFERROR(1-_xlfn.PERCENTRANK.INC('Master Data'!$J$5:$J$204,'Master Data'!$J112),0)</f>
        <v>0.362</v>
      </c>
      <c r="K112" s="7">
        <f>IFERROR(1-_xlfn.PERCENTRANK.INC('Master Data'!$K$5:$K$204,'Master Data'!$K112),0)</f>
        <v>0.492</v>
      </c>
      <c r="L112" s="7">
        <f>IFERROR(_xlfn.PERCENTRANK.INC('Master Data'!$L$5:$L$204,'Master Data'!$L112),0)</f>
        <v>0.472</v>
      </c>
      <c r="M112" s="7">
        <f>IFERROR(1-_xlfn.PERCENTRANK.INC('Master Data'!$M$5:$M$204,'Master Data'!$M112),0)</f>
        <v>0.513</v>
      </c>
      <c r="N112" s="7">
        <f>IFERROR(1-_xlfn.PERCENTRANK.INC('Master Data'!$N$5:$N$204,'Master Data'!$N112),0)</f>
        <v>0.186</v>
      </c>
      <c r="O112" s="7">
        <f>IFERROR(1-_xlfn.PERCENTRANK.INC('Master Data'!$O$5:$O$204,'Master Data'!$O112),0)</f>
        <v>0.578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6" t="s">
        <v>165</v>
      </c>
      <c r="C113" s="7">
        <f>IFERROR(_xlfn.PERCENTRANK.INC('Master Data'!$C$5:$C$204,'Master Data'!$C113),0)</f>
        <v>0.683</v>
      </c>
      <c r="D113" s="7">
        <f>IFERROR(_xlfn.PERCENTRANK.INC('Master Data'!$D$5:$D$204,'Master Data'!$D113),0)</f>
        <v>0.603</v>
      </c>
      <c r="E113" s="7">
        <f>IFERROR(_xlfn.PERCENTRANK.INC('Master Data'!$E$5:$E$204,'Master Data'!$E113),0)</f>
        <v>0.864</v>
      </c>
      <c r="F113" s="7">
        <f>IFERROR(_xlfn.PERCENTRANK.INC('Master Data'!$F$5:$F$204,'Master Data'!$F113),0)</f>
        <v>0.181</v>
      </c>
      <c r="G113" s="7">
        <f>IFERROR(_xlfn.PERCENTRANK.INC('Master Data'!$G$5:$G$204,'Master Data'!$G113),0)</f>
        <v>0.412</v>
      </c>
      <c r="H113" s="7">
        <f>IFERROR(_xlfn.PERCENTRANK.INC('Master Data'!$H$5:$H$204,'Master Data'!$H113),0)</f>
        <v>0.201</v>
      </c>
      <c r="I113" s="7">
        <f>IFERROR(_xlfn.PERCENTRANK.INC('Master Data'!$I$5:$I$204,'Master Data'!$I113),0)</f>
        <v>0.075</v>
      </c>
      <c r="J113" s="7">
        <f>IFERROR(1-_xlfn.PERCENTRANK.INC('Master Data'!$J$5:$J$204,'Master Data'!$J113),0)</f>
        <v>0.111</v>
      </c>
      <c r="K113" s="7">
        <f>IFERROR(1-_xlfn.PERCENTRANK.INC('Master Data'!$K$5:$K$204,'Master Data'!$K113),0)</f>
        <v>0.08</v>
      </c>
      <c r="L113" s="7">
        <f>IFERROR(_xlfn.PERCENTRANK.INC('Master Data'!$L$5:$L$204,'Master Data'!$L113),0)</f>
        <v>0.196</v>
      </c>
      <c r="M113" s="7">
        <f>IFERROR(1-_xlfn.PERCENTRANK.INC('Master Data'!$M$5:$M$204,'Master Data'!$M113),0)</f>
        <v>0.472</v>
      </c>
      <c r="N113" s="7">
        <f>IFERROR(1-_xlfn.PERCENTRANK.INC('Master Data'!$N$5:$N$204,'Master Data'!$N113),0)</f>
        <v>0.387</v>
      </c>
      <c r="O113" s="7">
        <f>IFERROR(1-_xlfn.PERCENTRANK.INC('Master Data'!$O$5:$O$204,'Master Data'!$O113),0)</f>
        <v>0.678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6" t="s">
        <v>164</v>
      </c>
      <c r="C114" s="7">
        <f>IFERROR(_xlfn.PERCENTRANK.INC('Master Data'!$C$5:$C$204,'Master Data'!$C114),0)</f>
        <v>0.03</v>
      </c>
      <c r="D114" s="7">
        <f>IFERROR(_xlfn.PERCENTRANK.INC('Master Data'!$D$5:$D$204,'Master Data'!$D114),0)</f>
        <v>0.05</v>
      </c>
      <c r="E114" s="7">
        <f>IFERROR(_xlfn.PERCENTRANK.INC('Master Data'!$E$5:$E$204,'Master Data'!$E114),0)</f>
        <v>0.04</v>
      </c>
      <c r="F114" s="7">
        <f>IFERROR(_xlfn.PERCENTRANK.INC('Master Data'!$F$5:$F$204,'Master Data'!$F114),0)</f>
        <v>0.92</v>
      </c>
      <c r="G114" s="7">
        <f>IFERROR(_xlfn.PERCENTRANK.INC('Master Data'!$G$5:$G$204,'Master Data'!$G114),0)</f>
        <v>0.95</v>
      </c>
      <c r="H114" s="7">
        <f>IFERROR(_xlfn.PERCENTRANK.INC('Master Data'!$H$5:$H$204,'Master Data'!$H114),0)</f>
        <v>0.01</v>
      </c>
      <c r="I114" s="7">
        <f>IFERROR(_xlfn.PERCENTRANK.INC('Master Data'!$I$5:$I$204,'Master Data'!$I114),0)</f>
        <v>0.844</v>
      </c>
      <c r="J114" s="7">
        <f>IFERROR(1-_xlfn.PERCENTRANK.INC('Master Data'!$J$5:$J$204,'Master Data'!$J114),0)</f>
        <v>0.673</v>
      </c>
      <c r="K114" s="7">
        <f>IFERROR(1-_xlfn.PERCENTRANK.INC('Master Data'!$K$5:$K$204,'Master Data'!$K114),0)</f>
        <v>0.608</v>
      </c>
      <c r="L114" s="7">
        <f>IFERROR(_xlfn.PERCENTRANK.INC('Master Data'!$L$5:$L$204,'Master Data'!$L114),0)</f>
        <v>0.618</v>
      </c>
      <c r="M114" s="7">
        <f>IFERROR(1-_xlfn.PERCENTRANK.INC('Master Data'!$M$5:$M$204,'Master Data'!$M114),0)</f>
        <v>0.256</v>
      </c>
      <c r="N114" s="7">
        <f>IFERROR(1-_xlfn.PERCENTRANK.INC('Master Data'!$N$5:$N$204,'Master Data'!$N114),0)</f>
        <v>0.332</v>
      </c>
      <c r="O114" s="7">
        <f>IFERROR(1-_xlfn.PERCENTRANK.INC('Master Data'!$O$5:$O$204,'Master Data'!$O114),0)</f>
        <v>0.075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6" t="s">
        <v>107</v>
      </c>
      <c r="C115" s="7">
        <f>IFERROR(_xlfn.PERCENTRANK.INC('Master Data'!$C$5:$C$204,'Master Data'!$C115),0)</f>
        <v>0.985</v>
      </c>
      <c r="D115" s="7">
        <f>IFERROR(_xlfn.PERCENTRANK.INC('Master Data'!$D$5:$D$204,'Master Data'!$D115),0)</f>
        <v>0.975</v>
      </c>
      <c r="E115" s="7">
        <f>IFERROR(_xlfn.PERCENTRANK.INC('Master Data'!$E$5:$E$204,'Master Data'!$E115),0)</f>
        <v>0.819</v>
      </c>
      <c r="F115" s="7">
        <f>IFERROR(_xlfn.PERCENTRANK.INC('Master Data'!$F$5:$F$204,'Master Data'!$F115),0)</f>
        <v>0.141</v>
      </c>
      <c r="G115" s="7">
        <f>IFERROR(_xlfn.PERCENTRANK.INC('Master Data'!$G$5:$G$204,'Master Data'!$G115),0)</f>
        <v>0.171</v>
      </c>
      <c r="H115" s="7">
        <f>IFERROR(_xlfn.PERCENTRANK.INC('Master Data'!$H$5:$H$204,'Master Data'!$H115),0)</f>
        <v>0.246</v>
      </c>
      <c r="I115" s="7">
        <f>IFERROR(_xlfn.PERCENTRANK.INC('Master Data'!$I$5:$I$204,'Master Data'!$I115),0)</f>
        <v>0.161</v>
      </c>
      <c r="J115" s="7">
        <f>IFERROR(1-_xlfn.PERCENTRANK.INC('Master Data'!$J$5:$J$204,'Master Data'!$J115),0)</f>
        <v>0.201</v>
      </c>
      <c r="K115" s="7">
        <f>IFERROR(1-_xlfn.PERCENTRANK.INC('Master Data'!$K$5:$K$204,'Master Data'!$K115),0)</f>
        <v>0.206</v>
      </c>
      <c r="L115" s="7">
        <f>IFERROR(_xlfn.PERCENTRANK.INC('Master Data'!$L$5:$L$204,'Master Data'!$L115),0)</f>
        <v>0.261</v>
      </c>
      <c r="M115" s="7">
        <f>IFERROR(1-_xlfn.PERCENTRANK.INC('Master Data'!$M$5:$M$204,'Master Data'!$M115),0)</f>
        <v>0.844</v>
      </c>
      <c r="N115" s="7">
        <f>IFERROR(1-_xlfn.PERCENTRANK.INC('Master Data'!$N$5:$N$204,'Master Data'!$N115),0)</f>
        <v>0.432</v>
      </c>
      <c r="O115" s="7">
        <f>IFERROR(1-_xlfn.PERCENTRANK.INC('Master Data'!$O$5:$O$204,'Master Data'!$O115),0)</f>
        <v>0.894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6" t="s">
        <v>153</v>
      </c>
      <c r="C116" s="7">
        <f>IFERROR(_xlfn.PERCENTRANK.INC('Master Data'!$C$5:$C$204,'Master Data'!$C116),0)</f>
        <v>0.452</v>
      </c>
      <c r="D116" s="7">
        <f>IFERROR(_xlfn.PERCENTRANK.INC('Master Data'!$D$5:$D$204,'Master Data'!$D116),0)</f>
        <v>0.422</v>
      </c>
      <c r="E116" s="7">
        <f>IFERROR(_xlfn.PERCENTRANK.INC('Master Data'!$E$5:$E$204,'Master Data'!$E116),0)</f>
        <v>0.417</v>
      </c>
      <c r="F116" s="7">
        <f>IFERROR(_xlfn.PERCENTRANK.INC('Master Data'!$F$5:$F$204,'Master Data'!$F116),0)</f>
        <v>0.548</v>
      </c>
      <c r="G116" s="7">
        <f>IFERROR(_xlfn.PERCENTRANK.INC('Master Data'!$G$5:$G$204,'Master Data'!$G116),0)</f>
        <v>0.497</v>
      </c>
      <c r="H116" s="7">
        <f>IFERROR(_xlfn.PERCENTRANK.INC('Master Data'!$H$5:$H$204,'Master Data'!$H116),0)</f>
        <v>0.447</v>
      </c>
      <c r="I116" s="7">
        <f>IFERROR(_xlfn.PERCENTRANK.INC('Master Data'!$I$5:$I$204,'Master Data'!$I116),0)</f>
        <v>0.528</v>
      </c>
      <c r="J116" s="7">
        <f>IFERROR(1-_xlfn.PERCENTRANK.INC('Master Data'!$J$5:$J$204,'Master Data'!$J116),0)</f>
        <v>0.467</v>
      </c>
      <c r="K116" s="7">
        <f>IFERROR(1-_xlfn.PERCENTRANK.INC('Master Data'!$K$5:$K$204,'Master Data'!$K116),0)</f>
        <v>0.397</v>
      </c>
      <c r="L116" s="7">
        <f>IFERROR(_xlfn.PERCENTRANK.INC('Master Data'!$L$5:$L$204,'Master Data'!$L116),0)</f>
        <v>0.367</v>
      </c>
      <c r="M116" s="7">
        <f>IFERROR(1-_xlfn.PERCENTRANK.INC('Master Data'!$M$5:$M$204,'Master Data'!$M116),0)</f>
        <v>0.372</v>
      </c>
      <c r="N116" s="7">
        <f>IFERROR(1-_xlfn.PERCENTRANK.INC('Master Data'!$N$5:$N$204,'Master Data'!$N116),0)</f>
        <v>0.221</v>
      </c>
      <c r="O116" s="7">
        <f>IFERROR(1-_xlfn.PERCENTRANK.INC('Master Data'!$O$5:$O$204,'Master Data'!$O116),0)</f>
        <v>0.422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6" t="s">
        <v>160</v>
      </c>
      <c r="C117" s="7">
        <f>IFERROR(_xlfn.PERCENTRANK.INC('Master Data'!$C$5:$C$204,'Master Data'!$C117),0)</f>
        <v>0.442</v>
      </c>
      <c r="D117" s="7">
        <f>IFERROR(_xlfn.PERCENTRANK.INC('Master Data'!$D$5:$D$204,'Master Data'!$D117),0)</f>
        <v>0.427</v>
      </c>
      <c r="E117" s="7">
        <f>IFERROR(_xlfn.PERCENTRANK.INC('Master Data'!$E$5:$E$204,'Master Data'!$E117),0)</f>
        <v>0.598</v>
      </c>
      <c r="F117" s="7">
        <f>IFERROR(_xlfn.PERCENTRANK.INC('Master Data'!$F$5:$F$204,'Master Data'!$F117),0)</f>
        <v>0.266</v>
      </c>
      <c r="G117" s="7">
        <f>IFERROR(_xlfn.PERCENTRANK.INC('Master Data'!$G$5:$G$204,'Master Data'!$G117),0)</f>
        <v>0.513</v>
      </c>
      <c r="H117" s="7">
        <f>IFERROR(_xlfn.PERCENTRANK.INC('Master Data'!$H$5:$H$204,'Master Data'!$H117),0)</f>
        <v>0.161</v>
      </c>
      <c r="I117" s="7">
        <f>IFERROR(_xlfn.PERCENTRANK.INC('Master Data'!$I$5:$I$204,'Master Data'!$I117),0)</f>
        <v>0.095</v>
      </c>
      <c r="J117" s="7">
        <f>IFERROR(1-_xlfn.PERCENTRANK.INC('Master Data'!$J$5:$J$204,'Master Data'!$J117),0)</f>
        <v>0.045</v>
      </c>
      <c r="K117" s="7">
        <f>IFERROR(1-_xlfn.PERCENTRANK.INC('Master Data'!$K$5:$K$204,'Master Data'!$K117),0)</f>
        <v>0.126</v>
      </c>
      <c r="L117" s="7">
        <f>IFERROR(_xlfn.PERCENTRANK.INC('Master Data'!$L$5:$L$204,'Master Data'!$L117),0)</f>
        <v>0.09</v>
      </c>
      <c r="M117" s="7">
        <f>IFERROR(1-_xlfn.PERCENTRANK.INC('Master Data'!$M$5:$M$204,'Master Data'!$M117),0)</f>
        <v>0.879</v>
      </c>
      <c r="N117" s="7">
        <f>IFERROR(1-_xlfn.PERCENTRANK.INC('Master Data'!$N$5:$N$204,'Master Data'!$N117),0)</f>
        <v>0.593</v>
      </c>
      <c r="O117" s="7">
        <f>IFERROR(1-_xlfn.PERCENTRANK.INC('Master Data'!$O$5:$O$204,'Master Data'!$O117),0)</f>
        <v>0.965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6" t="s">
        <v>77</v>
      </c>
      <c r="C118" s="7">
        <f>IFERROR(_xlfn.PERCENTRANK.INC('Master Data'!$C$5:$C$204,'Master Data'!$C118),0)</f>
        <v>0.03</v>
      </c>
      <c r="D118" s="7">
        <f>IFERROR(_xlfn.PERCENTRANK.INC('Master Data'!$D$5:$D$204,'Master Data'!$D118),0)</f>
        <v>0.05</v>
      </c>
      <c r="E118" s="7">
        <f>IFERROR(_xlfn.PERCENTRANK.INC('Master Data'!$E$5:$E$204,'Master Data'!$E118),0)</f>
        <v>0.04</v>
      </c>
      <c r="F118" s="7">
        <f>IFERROR(_xlfn.PERCENTRANK.INC('Master Data'!$F$5:$F$204,'Master Data'!$F118),0)</f>
        <v>1</v>
      </c>
      <c r="G118" s="7">
        <f>IFERROR(_xlfn.PERCENTRANK.INC('Master Data'!$G$5:$G$204,'Master Data'!$G118),0)</f>
        <v>1</v>
      </c>
      <c r="H118" s="7">
        <f>IFERROR(_xlfn.PERCENTRANK.INC('Master Data'!$H$5:$H$204,'Master Data'!$H118),0)</f>
        <v>0.085</v>
      </c>
      <c r="I118" s="7">
        <f>IFERROR(_xlfn.PERCENTRANK.INC('Master Data'!$I$5:$I$204,'Master Data'!$I118),0)</f>
        <v>0.186</v>
      </c>
      <c r="J118" s="7">
        <f>IFERROR(1-_xlfn.PERCENTRANK.INC('Master Data'!$J$5:$J$204,'Master Data'!$J118),0)</f>
        <v>0.99</v>
      </c>
      <c r="K118" s="7">
        <f>IFERROR(1-_xlfn.PERCENTRANK.INC('Master Data'!$K$5:$K$204,'Master Data'!$K118),0)</f>
        <v>0.925</v>
      </c>
      <c r="L118" s="7">
        <f>IFERROR(_xlfn.PERCENTRANK.INC('Master Data'!$L$5:$L$204,'Master Data'!$L118),0)</f>
        <v>0.874</v>
      </c>
      <c r="M118" s="7">
        <f>IFERROR(1-_xlfn.PERCENTRANK.INC('Master Data'!$M$5:$M$204,'Master Data'!$M118),0)</f>
        <v>0.93</v>
      </c>
      <c r="N118" s="7">
        <f>IFERROR(1-_xlfn.PERCENTRANK.INC('Master Data'!$N$5:$N$204,'Master Data'!$N118),0)</f>
        <v>0.548</v>
      </c>
      <c r="O118" s="7">
        <f>IFERROR(1-_xlfn.PERCENTRANK.INC('Master Data'!$O$5:$O$204,'Master Data'!$O118),0)</f>
        <v>0.648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6" t="s">
        <v>179</v>
      </c>
      <c r="C119" s="7">
        <f>IFERROR(_xlfn.PERCENTRANK.INC('Master Data'!$C$5:$C$204,'Master Data'!$C119),0)</f>
        <v>0.342</v>
      </c>
      <c r="D119" s="7">
        <f>IFERROR(_xlfn.PERCENTRANK.INC('Master Data'!$D$5:$D$204,'Master Data'!$D119),0)</f>
        <v>0.432</v>
      </c>
      <c r="E119" s="7">
        <f>IFERROR(_xlfn.PERCENTRANK.INC('Master Data'!$E$5:$E$204,'Master Data'!$E119),0)</f>
        <v>0.633</v>
      </c>
      <c r="F119" s="7">
        <f>IFERROR(_xlfn.PERCENTRANK.INC('Master Data'!$F$5:$F$204,'Master Data'!$F119),0)</f>
        <v>0.236</v>
      </c>
      <c r="G119" s="7">
        <f>IFERROR(_xlfn.PERCENTRANK.INC('Master Data'!$G$5:$G$204,'Master Data'!$G119),0)</f>
        <v>0.307</v>
      </c>
      <c r="H119" s="7">
        <f>IFERROR(_xlfn.PERCENTRANK.INC('Master Data'!$H$5:$H$204,'Master Data'!$H119),0)</f>
        <v>0.206</v>
      </c>
      <c r="I119" s="7">
        <f>IFERROR(_xlfn.PERCENTRANK.INC('Master Data'!$I$5:$I$204,'Master Data'!$I119),0)</f>
        <v>0.276</v>
      </c>
      <c r="J119" s="7">
        <f>IFERROR(1-_xlfn.PERCENTRANK.INC('Master Data'!$J$5:$J$204,'Master Data'!$J119),0)</f>
        <v>0.161</v>
      </c>
      <c r="K119" s="7">
        <f>IFERROR(1-_xlfn.PERCENTRANK.INC('Master Data'!$K$5:$K$204,'Master Data'!$K119),0)</f>
        <v>0.191</v>
      </c>
      <c r="L119" s="7">
        <f>IFERROR(_xlfn.PERCENTRANK.INC('Master Data'!$L$5:$L$204,'Master Data'!$L119),0)</f>
        <v>0.296</v>
      </c>
      <c r="M119" s="7">
        <f>IFERROR(1-_xlfn.PERCENTRANK.INC('Master Data'!$M$5:$M$204,'Master Data'!$M119),0)</f>
        <v>0.407</v>
      </c>
      <c r="N119" s="7">
        <f>IFERROR(1-_xlfn.PERCENTRANK.INC('Master Data'!$N$5:$N$204,'Master Data'!$N119),0)</f>
        <v>0.583</v>
      </c>
      <c r="O119" s="7">
        <f>IFERROR(1-_xlfn.PERCENTRANK.INC('Master Data'!$O$5:$O$204,'Master Data'!$O119),0)</f>
        <v>0.447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6" t="s">
        <v>8</v>
      </c>
      <c r="C120" s="7">
        <f>IFERROR(_xlfn.PERCENTRANK.INC('Master Data'!$C$5:$C$204,'Master Data'!$C120),0)</f>
        <v>0.92</v>
      </c>
      <c r="D120" s="7">
        <f>IFERROR(_xlfn.PERCENTRANK.INC('Master Data'!$D$5:$D$204,'Master Data'!$D120),0)</f>
        <v>0.894</v>
      </c>
      <c r="E120" s="7">
        <f>IFERROR(_xlfn.PERCENTRANK.INC('Master Data'!$E$5:$E$204,'Master Data'!$E120),0)</f>
        <v>0.754</v>
      </c>
      <c r="F120" s="7">
        <f>IFERROR(_xlfn.PERCENTRANK.INC('Master Data'!$F$5:$F$204,'Master Data'!$F120),0)</f>
        <v>0.915</v>
      </c>
      <c r="G120" s="7">
        <f>IFERROR(_xlfn.PERCENTRANK.INC('Master Data'!$G$5:$G$204,'Master Data'!$G120),0)</f>
        <v>0.91</v>
      </c>
      <c r="H120" s="7">
        <f>IFERROR(_xlfn.PERCENTRANK.INC('Master Data'!$H$5:$H$204,'Master Data'!$H120),0)</f>
        <v>0.925</v>
      </c>
      <c r="I120" s="7">
        <f>IFERROR(_xlfn.PERCENTRANK.INC('Master Data'!$I$5:$I$204,'Master Data'!$I120),0)</f>
        <v>0.854</v>
      </c>
      <c r="J120" s="7">
        <f>IFERROR(1-_xlfn.PERCENTRANK.INC('Master Data'!$J$5:$J$204,'Master Data'!$J120),0)</f>
        <v>0.643</v>
      </c>
      <c r="K120" s="7">
        <f>IFERROR(1-_xlfn.PERCENTRANK.INC('Master Data'!$K$5:$K$204,'Master Data'!$K120),0)</f>
        <v>0.648</v>
      </c>
      <c r="L120" s="7">
        <f>IFERROR(_xlfn.PERCENTRANK.INC('Master Data'!$L$5:$L$204,'Master Data'!$L120),0)</f>
        <v>0.819</v>
      </c>
      <c r="M120" s="7">
        <f>IFERROR(1-_xlfn.PERCENTRANK.INC('Master Data'!$M$5:$M$204,'Master Data'!$M120),0)</f>
        <v>0.593</v>
      </c>
      <c r="N120" s="7">
        <f>IFERROR(1-_xlfn.PERCENTRANK.INC('Master Data'!$N$5:$N$204,'Master Data'!$N120),0)</f>
        <v>0.98</v>
      </c>
      <c r="O120" s="7">
        <f>IFERROR(1-_xlfn.PERCENTRANK.INC('Master Data'!$O$5:$O$204,'Master Data'!$O120),0)</f>
        <v>0.462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6" t="s">
        <v>96</v>
      </c>
      <c r="C121" s="7">
        <f>IFERROR(_xlfn.PERCENTRANK.INC('Master Data'!$C$5:$C$204,'Master Data'!$C121),0)</f>
        <v>0.201</v>
      </c>
      <c r="D121" s="7">
        <f>IFERROR(_xlfn.PERCENTRANK.INC('Master Data'!$D$5:$D$204,'Master Data'!$D121),0)</f>
        <v>0.246</v>
      </c>
      <c r="E121" s="7">
        <f>IFERROR(_xlfn.PERCENTRANK.INC('Master Data'!$E$5:$E$204,'Master Data'!$E121),0)</f>
        <v>0.332</v>
      </c>
      <c r="F121" s="7">
        <f>IFERROR(_xlfn.PERCENTRANK.INC('Master Data'!$F$5:$F$204,'Master Data'!$F121),0)</f>
        <v>0.407</v>
      </c>
      <c r="G121" s="7">
        <f>IFERROR(_xlfn.PERCENTRANK.INC('Master Data'!$G$5:$G$204,'Master Data'!$G121),0)</f>
        <v>0.276</v>
      </c>
      <c r="H121" s="7">
        <f>IFERROR(_xlfn.PERCENTRANK.INC('Master Data'!$H$5:$H$204,'Master Data'!$H121),0)</f>
        <v>0.578</v>
      </c>
      <c r="I121" s="7">
        <f>IFERROR(_xlfn.PERCENTRANK.INC('Master Data'!$I$5:$I$204,'Master Data'!$I121),0)</f>
        <v>0.643</v>
      </c>
      <c r="J121" s="7">
        <f>IFERROR(1-_xlfn.PERCENTRANK.INC('Master Data'!$J$5:$J$204,'Master Data'!$J121),0)</f>
        <v>0.839</v>
      </c>
      <c r="K121" s="7">
        <f>IFERROR(1-_xlfn.PERCENTRANK.INC('Master Data'!$K$5:$K$204,'Master Data'!$K121),0)</f>
        <v>0.563</v>
      </c>
      <c r="L121" s="7">
        <f>IFERROR(_xlfn.PERCENTRANK.INC('Master Data'!$L$5:$L$204,'Master Data'!$L121),0)</f>
        <v>0.709</v>
      </c>
      <c r="M121" s="7">
        <f>IFERROR(1-_xlfn.PERCENTRANK.INC('Master Data'!$M$5:$M$204,'Master Data'!$M121),0)</f>
        <v>0.754</v>
      </c>
      <c r="N121" s="7">
        <f>IFERROR(1-_xlfn.PERCENTRANK.INC('Master Data'!$N$5:$N$204,'Master Data'!$N121),0)</f>
        <v>0.618</v>
      </c>
      <c r="O121" s="7">
        <f>IFERROR(1-_xlfn.PERCENTRANK.INC('Master Data'!$O$5:$O$204,'Master Data'!$O121),0)</f>
        <v>0.663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6" t="s">
        <v>150</v>
      </c>
      <c r="C122" s="7">
        <f>IFERROR(_xlfn.PERCENTRANK.INC('Master Data'!$C$5:$C$204,'Master Data'!$C122),0)</f>
        <v>0.593</v>
      </c>
      <c r="D122" s="7">
        <f>IFERROR(_xlfn.PERCENTRANK.INC('Master Data'!$D$5:$D$204,'Master Data'!$D122),0)</f>
        <v>0.588</v>
      </c>
      <c r="E122" s="7">
        <f>IFERROR(_xlfn.PERCENTRANK.INC('Master Data'!$E$5:$E$204,'Master Data'!$E122),0)</f>
        <v>0.623</v>
      </c>
      <c r="F122" s="7">
        <f>IFERROR(_xlfn.PERCENTRANK.INC('Master Data'!$F$5:$F$204,'Master Data'!$F122),0)</f>
        <v>0.271</v>
      </c>
      <c r="G122" s="7">
        <f>IFERROR(_xlfn.PERCENTRANK.INC('Master Data'!$G$5:$G$204,'Master Data'!$G122),0)</f>
        <v>0.281</v>
      </c>
      <c r="H122" s="7">
        <f>IFERROR(_xlfn.PERCENTRANK.INC('Master Data'!$H$5:$H$204,'Master Data'!$H122),0)</f>
        <v>0.176</v>
      </c>
      <c r="I122" s="7">
        <f>IFERROR(_xlfn.PERCENTRANK.INC('Master Data'!$I$5:$I$204,'Master Data'!$I122),0)</f>
        <v>0.161</v>
      </c>
      <c r="J122" s="7">
        <f>IFERROR(1-_xlfn.PERCENTRANK.INC('Master Data'!$J$5:$J$204,'Master Data'!$J122),0)</f>
        <v>0.126</v>
      </c>
      <c r="K122" s="7">
        <f>IFERROR(1-_xlfn.PERCENTRANK.INC('Master Data'!$K$5:$K$204,'Master Data'!$K122),0)</f>
        <v>0.156</v>
      </c>
      <c r="L122" s="7">
        <f>IFERROR(_xlfn.PERCENTRANK.INC('Master Data'!$L$5:$L$204,'Master Data'!$L122),0)</f>
        <v>0.116</v>
      </c>
      <c r="M122" s="7">
        <f>IFERROR(1-_xlfn.PERCENTRANK.INC('Master Data'!$M$5:$M$204,'Master Data'!$M122),0)</f>
        <v>0.829</v>
      </c>
      <c r="N122" s="7">
        <f>IFERROR(1-_xlfn.PERCENTRANK.INC('Master Data'!$N$5:$N$204,'Master Data'!$N122),0)</f>
        <v>0.568</v>
      </c>
      <c r="O122" s="7">
        <f>IFERROR(1-_xlfn.PERCENTRANK.INC('Master Data'!$O$5:$O$204,'Master Data'!$O122),0)</f>
        <v>0.839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6" t="s">
        <v>67</v>
      </c>
      <c r="C123" s="7">
        <f>IFERROR(_xlfn.PERCENTRANK.INC('Master Data'!$C$5:$C$204,'Master Data'!$C123),0)</f>
        <v>0.618</v>
      </c>
      <c r="D123" s="7">
        <f>IFERROR(_xlfn.PERCENTRANK.INC('Master Data'!$D$5:$D$204,'Master Data'!$D123),0)</f>
        <v>0.739</v>
      </c>
      <c r="E123" s="7">
        <f>IFERROR(_xlfn.PERCENTRANK.INC('Master Data'!$E$5:$E$204,'Master Data'!$E123),0)</f>
        <v>0.653</v>
      </c>
      <c r="F123" s="7">
        <f>IFERROR(_xlfn.PERCENTRANK.INC('Master Data'!$F$5:$F$204,'Master Data'!$F123),0)</f>
        <v>0.583</v>
      </c>
      <c r="G123" s="7">
        <f>IFERROR(_xlfn.PERCENTRANK.INC('Master Data'!$G$5:$G$204,'Master Data'!$G123),0)</f>
        <v>0.442</v>
      </c>
      <c r="H123" s="7">
        <f>IFERROR(_xlfn.PERCENTRANK.INC('Master Data'!$H$5:$H$204,'Master Data'!$H123),0)</f>
        <v>0.618</v>
      </c>
      <c r="I123" s="7">
        <f>IFERROR(_xlfn.PERCENTRANK.INC('Master Data'!$I$5:$I$204,'Master Data'!$I123),0)</f>
        <v>0.457</v>
      </c>
      <c r="J123" s="7">
        <f>IFERROR(1-_xlfn.PERCENTRANK.INC('Master Data'!$J$5:$J$204,'Master Data'!$J123),0)</f>
        <v>0.623</v>
      </c>
      <c r="K123" s="7">
        <f>IFERROR(1-_xlfn.PERCENTRANK.INC('Master Data'!$K$5:$K$204,'Master Data'!$K123),0)</f>
        <v>0.583</v>
      </c>
      <c r="L123" s="7">
        <f>IFERROR(_xlfn.PERCENTRANK.INC('Master Data'!$L$5:$L$204,'Master Data'!$L123),0)</f>
        <v>0.683</v>
      </c>
      <c r="M123" s="7">
        <f>IFERROR(1-_xlfn.PERCENTRANK.INC('Master Data'!$M$5:$M$204,'Master Data'!$M123),0)</f>
        <v>0.744</v>
      </c>
      <c r="N123" s="7">
        <f>IFERROR(1-_xlfn.PERCENTRANK.INC('Master Data'!$N$5:$N$204,'Master Data'!$N123),0)</f>
        <v>0.246</v>
      </c>
      <c r="O123" s="7">
        <f>IFERROR(1-_xlfn.PERCENTRANK.INC('Master Data'!$O$5:$O$204,'Master Data'!$O123),0)</f>
        <v>0.523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6" t="s">
        <v>154</v>
      </c>
      <c r="C124" s="7">
        <f>IFERROR(_xlfn.PERCENTRANK.INC('Master Data'!$C$5:$C$204,'Master Data'!$C124),0)</f>
        <v>0.03</v>
      </c>
      <c r="D124" s="7">
        <f>IFERROR(_xlfn.PERCENTRANK.INC('Master Data'!$D$5:$D$204,'Master Data'!$D124),0)</f>
        <v>0.05</v>
      </c>
      <c r="E124" s="7">
        <f>IFERROR(_xlfn.PERCENTRANK.INC('Master Data'!$E$5:$E$204,'Master Data'!$E124),0)</f>
        <v>0.04</v>
      </c>
      <c r="F124" s="7">
        <f>IFERROR(_xlfn.PERCENTRANK.INC('Master Data'!$F$5:$F$204,'Master Data'!$F124),0)</f>
        <v>0.799</v>
      </c>
      <c r="G124" s="7">
        <f>IFERROR(_xlfn.PERCENTRANK.INC('Master Data'!$G$5:$G$204,'Master Data'!$G124),0)</f>
        <v>0.789</v>
      </c>
      <c r="H124" s="7">
        <f>IFERROR(_xlfn.PERCENTRANK.INC('Master Data'!$H$5:$H$204,'Master Data'!$H124),0)</f>
        <v>0.869</v>
      </c>
      <c r="I124" s="7">
        <f>IFERROR(_xlfn.PERCENTRANK.INC('Master Data'!$I$5:$I$204,'Master Data'!$I124),0)</f>
        <v>0.457</v>
      </c>
      <c r="J124" s="7">
        <f>IFERROR(1-_xlfn.PERCENTRANK.INC('Master Data'!$J$5:$J$204,'Master Data'!$J124),0)</f>
        <v>0.638</v>
      </c>
      <c r="K124" s="7">
        <f>IFERROR(1-_xlfn.PERCENTRANK.INC('Master Data'!$K$5:$K$204,'Master Data'!$K124),0)</f>
        <v>0.593</v>
      </c>
      <c r="L124" s="7">
        <f>IFERROR(_xlfn.PERCENTRANK.INC('Master Data'!$L$5:$L$204,'Master Data'!$L124),0)</f>
        <v>0.759</v>
      </c>
      <c r="M124" s="7">
        <f>IFERROR(1-_xlfn.PERCENTRANK.INC('Master Data'!$M$5:$M$204,'Master Data'!$M124),0)</f>
        <v>0.332</v>
      </c>
      <c r="N124" s="7">
        <f>IFERROR(1-_xlfn.PERCENTRANK.INC('Master Data'!$N$5:$N$204,'Master Data'!$N124),0)</f>
        <v>0.005</v>
      </c>
      <c r="O124" s="7">
        <f>IFERROR(1-_xlfn.PERCENTRANK.INC('Master Data'!$O$5:$O$204,'Master Data'!$O124),0)</f>
        <v>0.412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6" t="s">
        <v>80</v>
      </c>
      <c r="C125" s="7">
        <f>IFERROR(_xlfn.PERCENTRANK.INC('Master Data'!$C$5:$C$204,'Master Data'!$C125),0)</f>
        <v>0.231</v>
      </c>
      <c r="D125" s="7">
        <f>IFERROR(_xlfn.PERCENTRANK.INC('Master Data'!$D$5:$D$204,'Master Data'!$D125),0)</f>
        <v>0.322</v>
      </c>
      <c r="E125" s="7">
        <f>IFERROR(_xlfn.PERCENTRANK.INC('Master Data'!$E$5:$E$204,'Master Data'!$E125),0)</f>
        <v>0.447</v>
      </c>
      <c r="F125" s="7">
        <f>IFERROR(_xlfn.PERCENTRANK.INC('Master Data'!$F$5:$F$204,'Master Data'!$F125),0)</f>
        <v>0.925</v>
      </c>
      <c r="G125" s="7">
        <f>IFERROR(_xlfn.PERCENTRANK.INC('Master Data'!$G$5:$G$204,'Master Data'!$G125),0)</f>
        <v>0.935</v>
      </c>
      <c r="H125" s="7">
        <f>IFERROR(_xlfn.PERCENTRANK.INC('Master Data'!$H$5:$H$204,'Master Data'!$H125),0)</f>
        <v>0.96</v>
      </c>
      <c r="I125" s="7">
        <f>IFERROR(_xlfn.PERCENTRANK.INC('Master Data'!$I$5:$I$204,'Master Data'!$I125),0)</f>
        <v>0.869</v>
      </c>
      <c r="J125" s="7">
        <f>IFERROR(1-_xlfn.PERCENTRANK.INC('Master Data'!$J$5:$J$204,'Master Data'!$J125),0)</f>
        <v>0.769</v>
      </c>
      <c r="K125" s="7">
        <f>IFERROR(1-_xlfn.PERCENTRANK.INC('Master Data'!$K$5:$K$204,'Master Data'!$K125),0)</f>
        <v>0.739</v>
      </c>
      <c r="L125" s="7">
        <f>IFERROR(_xlfn.PERCENTRANK.INC('Master Data'!$L$5:$L$204,'Master Data'!$L125),0)</f>
        <v>0.729</v>
      </c>
      <c r="M125" s="7">
        <f>IFERROR(1-_xlfn.PERCENTRANK.INC('Master Data'!$M$5:$M$204,'Master Data'!$M125),0)</f>
        <v>0.201</v>
      </c>
      <c r="N125" s="7">
        <f>IFERROR(1-_xlfn.PERCENTRANK.INC('Master Data'!$N$5:$N$204,'Master Data'!$N125),0)</f>
        <v>0.402</v>
      </c>
      <c r="O125" s="7">
        <f>IFERROR(1-_xlfn.PERCENTRANK.INC('Master Data'!$O$5:$O$204,'Master Data'!$O125),0)</f>
        <v>0.085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6" t="s">
        <v>46</v>
      </c>
      <c r="C126" s="7">
        <f>IFERROR(_xlfn.PERCENTRANK.INC('Master Data'!$C$5:$C$204,'Master Data'!$C126),0)</f>
        <v>0.558</v>
      </c>
      <c r="D126" s="7">
        <f>IFERROR(_xlfn.PERCENTRANK.INC('Master Data'!$D$5:$D$204,'Master Data'!$D126),0)</f>
        <v>0.352</v>
      </c>
      <c r="E126" s="7">
        <f>IFERROR(_xlfn.PERCENTRANK.INC('Master Data'!$E$5:$E$204,'Master Data'!$E126),0)</f>
        <v>0.497</v>
      </c>
      <c r="F126" s="7">
        <f>IFERROR(_xlfn.PERCENTRANK.INC('Master Data'!$F$5:$F$204,'Master Data'!$F126),0)</f>
        <v>0.643</v>
      </c>
      <c r="G126" s="7">
        <f>IFERROR(_xlfn.PERCENTRANK.INC('Master Data'!$G$5:$G$204,'Master Data'!$G126),0)</f>
        <v>0.523</v>
      </c>
      <c r="H126" s="7">
        <f>IFERROR(_xlfn.PERCENTRANK.INC('Master Data'!$H$5:$H$204,'Master Data'!$H126),0)</f>
        <v>0.719</v>
      </c>
      <c r="I126" s="7">
        <f>IFERROR(_xlfn.PERCENTRANK.INC('Master Data'!$I$5:$I$204,'Master Data'!$I126),0)</f>
        <v>0.834</v>
      </c>
      <c r="J126" s="7">
        <f>IFERROR(1-_xlfn.PERCENTRANK.INC('Master Data'!$J$5:$J$204,'Master Data'!$J126),0)</f>
        <v>0.905</v>
      </c>
      <c r="K126" s="7">
        <f>IFERROR(1-_xlfn.PERCENTRANK.INC('Master Data'!$K$5:$K$204,'Master Data'!$K126),0)</f>
        <v>0.834</v>
      </c>
      <c r="L126" s="7">
        <f>IFERROR(_xlfn.PERCENTRANK.INC('Master Data'!$L$5:$L$204,'Master Data'!$L126),0)</f>
        <v>0.754</v>
      </c>
      <c r="M126" s="7">
        <f>IFERROR(1-_xlfn.PERCENTRANK.INC('Master Data'!$M$5:$M$204,'Master Data'!$M126),0)</f>
        <v>0.643</v>
      </c>
      <c r="N126" s="7">
        <f>IFERROR(1-_xlfn.PERCENTRANK.INC('Master Data'!$N$5:$N$204,'Master Data'!$N126),0)</f>
        <v>0.116</v>
      </c>
      <c r="O126" s="7">
        <f>IFERROR(1-_xlfn.PERCENTRANK.INC('Master Data'!$O$5:$O$204,'Master Data'!$O126),0)</f>
        <v>0.658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6" t="s">
        <v>155</v>
      </c>
      <c r="C127" s="7">
        <f>IFERROR(_xlfn.PERCENTRANK.INC('Master Data'!$C$5:$C$204,'Master Data'!$C127),0)</f>
        <v>0</v>
      </c>
      <c r="D127" s="7">
        <f>IFERROR(_xlfn.PERCENTRANK.INC('Master Data'!$D$5:$D$204,'Master Data'!$D127),0)</f>
        <v>0.05</v>
      </c>
      <c r="E127" s="7">
        <f>IFERROR(_xlfn.PERCENTRANK.INC('Master Data'!$E$5:$E$204,'Master Data'!$E127),0)</f>
        <v>0.04</v>
      </c>
      <c r="F127" s="7">
        <f>IFERROR(_xlfn.PERCENTRANK.INC('Master Data'!$F$5:$F$204,'Master Data'!$F127),0)</f>
        <v>0.085</v>
      </c>
      <c r="G127" s="7">
        <f>IFERROR(_xlfn.PERCENTRANK.INC('Master Data'!$G$5:$G$204,'Master Data'!$G127),0)</f>
        <v>0.126</v>
      </c>
      <c r="H127" s="7">
        <f>IFERROR(_xlfn.PERCENTRANK.INC('Master Data'!$H$5:$H$204,'Master Data'!$H127),0)</f>
        <v>0.327</v>
      </c>
      <c r="I127" s="7">
        <f>IFERROR(_xlfn.PERCENTRANK.INC('Master Data'!$I$5:$I$204,'Master Data'!$I127),0)</f>
        <v>0.261</v>
      </c>
      <c r="J127" s="7">
        <f>IFERROR(1-_xlfn.PERCENTRANK.INC('Master Data'!$J$5:$J$204,'Master Data'!$J127),0)</f>
        <v>0.96</v>
      </c>
      <c r="K127" s="7">
        <f>IFERROR(1-_xlfn.PERCENTRANK.INC('Master Data'!$K$5:$K$204,'Master Data'!$K127),0)</f>
        <v>0.93</v>
      </c>
      <c r="L127" s="7">
        <f>IFERROR(_xlfn.PERCENTRANK.INC('Master Data'!$L$5:$L$204,'Master Data'!$L127),0)</f>
        <v>0.95</v>
      </c>
      <c r="M127" s="7">
        <f>IFERROR(1-_xlfn.PERCENTRANK.INC('Master Data'!$M$5:$M$204,'Master Data'!$M127),0)</f>
        <v>1</v>
      </c>
      <c r="N127" s="7">
        <f>IFERROR(1-_xlfn.PERCENTRANK.INC('Master Data'!$N$5:$N$204,'Master Data'!$N127),0)</f>
        <v>0.025</v>
      </c>
      <c r="O127" s="7">
        <f>IFERROR(1-_xlfn.PERCENTRANK.INC('Master Data'!$O$5:$O$204,'Master Data'!$O127),0)</f>
        <v>0.482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6" t="s">
        <v>175</v>
      </c>
      <c r="C128" s="7">
        <f>IFERROR(_xlfn.PERCENTRANK.INC('Master Data'!$C$5:$C$204,'Master Data'!$C128),0)</f>
        <v>0.623</v>
      </c>
      <c r="D128" s="7">
        <f>IFERROR(_xlfn.PERCENTRANK.INC('Master Data'!$D$5:$D$204,'Master Data'!$D128),0)</f>
        <v>0.995</v>
      </c>
      <c r="E128" s="7">
        <f>IFERROR(_xlfn.PERCENTRANK.INC('Master Data'!$E$5:$E$204,'Master Data'!$E128),0)</f>
        <v>0.04</v>
      </c>
      <c r="F128" s="7">
        <f>IFERROR(_xlfn.PERCENTRANK.INC('Master Data'!$F$5:$F$204,'Master Data'!$F128),0)</f>
        <v>0.095</v>
      </c>
      <c r="G128" s="7">
        <f>IFERROR(_xlfn.PERCENTRANK.INC('Master Data'!$G$5:$G$204,'Master Data'!$G128),0)</f>
        <v>0.101</v>
      </c>
      <c r="H128" s="7">
        <f>IFERROR(_xlfn.PERCENTRANK.INC('Master Data'!$H$5:$H$204,'Master Data'!$H128),0)</f>
        <v>0.266</v>
      </c>
      <c r="I128" s="7">
        <f>IFERROR(_xlfn.PERCENTRANK.INC('Master Data'!$I$5:$I$204,'Master Data'!$I128),0)</f>
        <v>0.387</v>
      </c>
      <c r="J128" s="7">
        <f>IFERROR(1-_xlfn.PERCENTRANK.INC('Master Data'!$J$5:$J$204,'Master Data'!$J128),0)</f>
        <v>0.553</v>
      </c>
      <c r="K128" s="7">
        <f>IFERROR(1-_xlfn.PERCENTRANK.INC('Master Data'!$K$5:$K$204,'Master Data'!$K128),0)</f>
        <v>0.985</v>
      </c>
      <c r="L128" s="7">
        <f>IFERROR(_xlfn.PERCENTRANK.INC('Master Data'!$L$5:$L$204,'Master Data'!$L128),0)</f>
        <v>0.402</v>
      </c>
      <c r="M128" s="7">
        <f>IFERROR(1-_xlfn.PERCENTRANK.INC('Master Data'!$M$5:$M$204,'Master Data'!$M128),0)</f>
        <v>0.08</v>
      </c>
      <c r="N128" s="7">
        <f>IFERROR(1-_xlfn.PERCENTRANK.INC('Master Data'!$N$5:$N$204,'Master Data'!$N128),0)</f>
        <v>0</v>
      </c>
      <c r="O128" s="7">
        <f>IFERROR(1-_xlfn.PERCENTRANK.INC('Master Data'!$O$5:$O$204,'Master Data'!$O128),0)</f>
        <v>0.186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6" t="s">
        <v>40</v>
      </c>
      <c r="C129" s="7">
        <f>IFERROR(_xlfn.PERCENTRANK.INC('Master Data'!$C$5:$C$204,'Master Data'!$C129),0)</f>
        <v>0.608</v>
      </c>
      <c r="D129" s="7">
        <f>IFERROR(_xlfn.PERCENTRANK.INC('Master Data'!$D$5:$D$204,'Master Data'!$D129),0)</f>
        <v>0.95</v>
      </c>
      <c r="E129" s="7">
        <f>IFERROR(_xlfn.PERCENTRANK.INC('Master Data'!$E$5:$E$204,'Master Data'!$E129),0)</f>
        <v>0.693</v>
      </c>
      <c r="F129" s="7">
        <f>IFERROR(_xlfn.PERCENTRANK.INC('Master Data'!$F$5:$F$204,'Master Data'!$F129),0)</f>
        <v>0.874</v>
      </c>
      <c r="G129" s="7">
        <f>IFERROR(_xlfn.PERCENTRANK.INC('Master Data'!$G$5:$G$204,'Master Data'!$G129),0)</f>
        <v>0.839</v>
      </c>
      <c r="H129" s="7">
        <f>IFERROR(_xlfn.PERCENTRANK.INC('Master Data'!$H$5:$H$204,'Master Data'!$H129),0)</f>
        <v>0.342</v>
      </c>
      <c r="I129" s="7">
        <f>IFERROR(_xlfn.PERCENTRANK.INC('Master Data'!$I$5:$I$204,'Master Data'!$I129),0)</f>
        <v>0.352</v>
      </c>
      <c r="J129" s="7">
        <f>IFERROR(1-_xlfn.PERCENTRANK.INC('Master Data'!$J$5:$J$204,'Master Data'!$J129),0)</f>
        <v>0.935</v>
      </c>
      <c r="K129" s="7">
        <f>IFERROR(1-_xlfn.PERCENTRANK.INC('Master Data'!$K$5:$K$204,'Master Data'!$K129),0)</f>
        <v>0.859</v>
      </c>
      <c r="L129" s="7">
        <f>IFERROR(_xlfn.PERCENTRANK.INC('Master Data'!$L$5:$L$204,'Master Data'!$L129),0)</f>
        <v>0.824</v>
      </c>
      <c r="M129" s="7">
        <f>IFERROR(1-_xlfn.PERCENTRANK.INC('Master Data'!$M$5:$M$204,'Master Data'!$M129),0)</f>
        <v>0.317</v>
      </c>
      <c r="N129" s="7">
        <f>IFERROR(1-_xlfn.PERCENTRANK.INC('Master Data'!$N$5:$N$204,'Master Data'!$N129),0)</f>
        <v>0.317</v>
      </c>
      <c r="O129" s="7">
        <f>IFERROR(1-_xlfn.PERCENTRANK.INC('Master Data'!$O$5:$O$204,'Master Data'!$O129),0)</f>
        <v>0.131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6" t="s">
        <v>36</v>
      </c>
      <c r="C130" s="7">
        <f>IFERROR(_xlfn.PERCENTRANK.INC('Master Data'!$C$5:$C$204,'Master Data'!$C130),0)</f>
        <v>0.99</v>
      </c>
      <c r="D130" s="7">
        <f>IFERROR(_xlfn.PERCENTRANK.INC('Master Data'!$D$5:$D$204,'Master Data'!$D130),0)</f>
        <v>0.99</v>
      </c>
      <c r="E130" s="7">
        <f>IFERROR(_xlfn.PERCENTRANK.INC('Master Data'!$E$5:$E$204,'Master Data'!$E130),0)</f>
        <v>0.99</v>
      </c>
      <c r="F130" s="7">
        <f>IFERROR(_xlfn.PERCENTRANK.INC('Master Data'!$F$5:$F$204,'Master Data'!$F130),0)</f>
        <v>0.467</v>
      </c>
      <c r="G130" s="7">
        <f>IFERROR(_xlfn.PERCENTRANK.INC('Master Data'!$G$5:$G$204,'Master Data'!$G130),0)</f>
        <v>0.608</v>
      </c>
      <c r="H130" s="7">
        <f>IFERROR(_xlfn.PERCENTRANK.INC('Master Data'!$H$5:$H$204,'Master Data'!$H130),0)</f>
        <v>0.497</v>
      </c>
      <c r="I130" s="7">
        <f>IFERROR(_xlfn.PERCENTRANK.INC('Master Data'!$I$5:$I$204,'Master Data'!$I130),0)</f>
        <v>0.251</v>
      </c>
      <c r="J130" s="7">
        <f>IFERROR(1-_xlfn.PERCENTRANK.INC('Master Data'!$J$5:$J$204,'Master Data'!$J130),0)</f>
        <v>0.302</v>
      </c>
      <c r="K130" s="7">
        <f>IFERROR(1-_xlfn.PERCENTRANK.INC('Master Data'!$K$5:$K$204,'Master Data'!$K130),0)</f>
        <v>0.317</v>
      </c>
      <c r="L130" s="7">
        <f>IFERROR(_xlfn.PERCENTRANK.INC('Master Data'!$L$5:$L$204,'Master Data'!$L130),0)</f>
        <v>0.392</v>
      </c>
      <c r="M130" s="7">
        <f>IFERROR(1-_xlfn.PERCENTRANK.INC('Master Data'!$M$5:$M$204,'Master Data'!$M130),0)</f>
        <v>0.784</v>
      </c>
      <c r="N130" s="7">
        <f>IFERROR(1-_xlfn.PERCENTRANK.INC('Master Data'!$N$5:$N$204,'Master Data'!$N130),0)</f>
        <v>0.879</v>
      </c>
      <c r="O130" s="7">
        <f>IFERROR(1-_xlfn.PERCENTRANK.INC('Master Data'!$O$5:$O$204,'Master Data'!$O130),0)</f>
        <v>0.553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6" t="s">
        <v>30</v>
      </c>
      <c r="C131" s="7">
        <f>IFERROR(_xlfn.PERCENTRANK.INC('Master Data'!$C$5:$C$204,'Master Data'!$C131),0)</f>
        <v>0.663</v>
      </c>
      <c r="D131" s="7">
        <f>IFERROR(_xlfn.PERCENTRANK.INC('Master Data'!$D$5:$D$204,'Master Data'!$D131),0)</f>
        <v>0.734</v>
      </c>
      <c r="E131" s="7">
        <f>IFERROR(_xlfn.PERCENTRANK.INC('Master Data'!$E$5:$E$204,'Master Data'!$E131),0)</f>
        <v>0.608</v>
      </c>
      <c r="F131" s="7">
        <f>IFERROR(_xlfn.PERCENTRANK.INC('Master Data'!$F$5:$F$204,'Master Data'!$F131),0)</f>
        <v>0.869</v>
      </c>
      <c r="G131" s="7">
        <f>IFERROR(_xlfn.PERCENTRANK.INC('Master Data'!$G$5:$G$204,'Master Data'!$G131),0)</f>
        <v>0.874</v>
      </c>
      <c r="H131" s="7">
        <f>IFERROR(_xlfn.PERCENTRANK.INC('Master Data'!$H$5:$H$204,'Master Data'!$H131),0)</f>
        <v>0.91</v>
      </c>
      <c r="I131" s="7">
        <f>IFERROR(_xlfn.PERCENTRANK.INC('Master Data'!$I$5:$I$204,'Master Data'!$I131),0)</f>
        <v>0.704</v>
      </c>
      <c r="J131" s="7">
        <f>IFERROR(1-_xlfn.PERCENTRANK.INC('Master Data'!$J$5:$J$204,'Master Data'!$J131),0)</f>
        <v>0.749</v>
      </c>
      <c r="K131" s="7">
        <f>IFERROR(1-_xlfn.PERCENTRANK.INC('Master Data'!$K$5:$K$204,'Master Data'!$K131),0)</f>
        <v>0.734</v>
      </c>
      <c r="L131" s="7">
        <f>IFERROR(_xlfn.PERCENTRANK.INC('Master Data'!$L$5:$L$204,'Master Data'!$L131),0)</f>
        <v>0.789</v>
      </c>
      <c r="M131" s="7">
        <f>IFERROR(1-_xlfn.PERCENTRANK.INC('Master Data'!$M$5:$M$204,'Master Data'!$M131),0)</f>
        <v>0.578</v>
      </c>
      <c r="N131" s="7">
        <f>IFERROR(1-_xlfn.PERCENTRANK.INC('Master Data'!$N$5:$N$204,'Master Data'!$N131),0)</f>
        <v>0.101</v>
      </c>
      <c r="O131" s="7">
        <f>IFERROR(1-_xlfn.PERCENTRANK.INC('Master Data'!$O$5:$O$204,'Master Data'!$O131),0)</f>
        <v>0.377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6" t="s">
        <v>123</v>
      </c>
      <c r="C132" s="7">
        <f>IFERROR(_xlfn.PERCENTRANK.INC('Master Data'!$C$5:$C$204,'Master Data'!$C132),0)</f>
        <v>0.176</v>
      </c>
      <c r="D132" s="7">
        <f>IFERROR(_xlfn.PERCENTRANK.INC('Master Data'!$D$5:$D$204,'Master Data'!$D132),0)</f>
        <v>0.04</v>
      </c>
      <c r="E132" s="7">
        <f>IFERROR(_xlfn.PERCENTRANK.INC('Master Data'!$E$5:$E$204,'Master Data'!$E132),0)</f>
        <v>0.02</v>
      </c>
      <c r="F132" s="7">
        <f>IFERROR(_xlfn.PERCENTRANK.INC('Master Data'!$F$5:$F$204,'Master Data'!$F132),0)</f>
        <v>0.477</v>
      </c>
      <c r="G132" s="7">
        <f>IFERROR(_xlfn.PERCENTRANK.INC('Master Data'!$G$5:$G$204,'Master Data'!$G132),0)</f>
        <v>0.327</v>
      </c>
      <c r="H132" s="7">
        <f>IFERROR(_xlfn.PERCENTRANK.INC('Master Data'!$H$5:$H$204,'Master Data'!$H132),0)</f>
        <v>0.492</v>
      </c>
      <c r="I132" s="7">
        <f>IFERROR(_xlfn.PERCENTRANK.INC('Master Data'!$I$5:$I$204,'Master Data'!$I132),0)</f>
        <v>0.729</v>
      </c>
      <c r="J132" s="7">
        <f>IFERROR(1-_xlfn.PERCENTRANK.INC('Master Data'!$J$5:$J$204,'Master Data'!$J132),0)</f>
        <v>0.558</v>
      </c>
      <c r="K132" s="7">
        <f>IFERROR(1-_xlfn.PERCENTRANK.INC('Master Data'!$K$5:$K$204,'Master Data'!$K132),0)</f>
        <v>0.533</v>
      </c>
      <c r="L132" s="7">
        <f>IFERROR(_xlfn.PERCENTRANK.INC('Master Data'!$L$5:$L$204,'Master Data'!$L132),0)</f>
        <v>0.422</v>
      </c>
      <c r="M132" s="7">
        <f>IFERROR(1-_xlfn.PERCENTRANK.INC('Master Data'!$M$5:$M$204,'Master Data'!$M132),0)</f>
        <v>0.849</v>
      </c>
      <c r="N132" s="7">
        <f>IFERROR(1-_xlfn.PERCENTRANK.INC('Master Data'!$N$5:$N$204,'Master Data'!$N132),0)</f>
        <v>0.859</v>
      </c>
      <c r="O132" s="7">
        <f>IFERROR(1-_xlfn.PERCENTRANK.INC('Master Data'!$O$5:$O$204,'Master Data'!$O132),0)</f>
        <v>0.779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6" t="s">
        <v>98</v>
      </c>
      <c r="C133" s="7">
        <f>IFERROR(_xlfn.PERCENTRANK.INC('Master Data'!$C$5:$C$204,'Master Data'!$C133),0)</f>
        <v>0.734</v>
      </c>
      <c r="D133" s="7">
        <f>IFERROR(_xlfn.PERCENTRANK.INC('Master Data'!$D$5:$D$204,'Master Data'!$D133),0)</f>
        <v>0.704</v>
      </c>
      <c r="E133" s="7">
        <f>IFERROR(_xlfn.PERCENTRANK.INC('Master Data'!$E$5:$E$204,'Master Data'!$E133),0)</f>
        <v>0.804</v>
      </c>
      <c r="F133" s="7">
        <f>IFERROR(_xlfn.PERCENTRANK.INC('Master Data'!$F$5:$F$204,'Master Data'!$F133),0)</f>
        <v>0.472</v>
      </c>
      <c r="G133" s="7">
        <f>IFERROR(_xlfn.PERCENTRANK.INC('Master Data'!$G$5:$G$204,'Master Data'!$G133),0)</f>
        <v>0.794</v>
      </c>
      <c r="H133" s="7">
        <f>IFERROR(_xlfn.PERCENTRANK.INC('Master Data'!$H$5:$H$204,'Master Data'!$H133),0)</f>
        <v>0.432</v>
      </c>
      <c r="I133" s="7">
        <f>IFERROR(_xlfn.PERCENTRANK.INC('Master Data'!$I$5:$I$204,'Master Data'!$I133),0)</f>
        <v>0.211</v>
      </c>
      <c r="J133" s="7">
        <f>IFERROR(1-_xlfn.PERCENTRANK.INC('Master Data'!$J$5:$J$204,'Master Data'!$J133),0)</f>
        <v>0.146</v>
      </c>
      <c r="K133" s="7">
        <f>IFERROR(1-_xlfn.PERCENTRANK.INC('Master Data'!$K$5:$K$204,'Master Data'!$K133),0)</f>
        <v>0.231</v>
      </c>
      <c r="L133" s="7">
        <f>IFERROR(_xlfn.PERCENTRANK.INC('Master Data'!$L$5:$L$204,'Master Data'!$L133),0)</f>
        <v>0.231</v>
      </c>
      <c r="M133" s="7">
        <f>IFERROR(1-_xlfn.PERCENTRANK.INC('Master Data'!$M$5:$M$204,'Master Data'!$M133),0)</f>
        <v>0.824</v>
      </c>
      <c r="N133" s="7">
        <f>IFERROR(1-_xlfn.PERCENTRANK.INC('Master Data'!$N$5:$N$204,'Master Data'!$N133),0)</f>
        <v>0.518</v>
      </c>
      <c r="O133" s="7">
        <f>IFERROR(1-_xlfn.PERCENTRANK.INC('Master Data'!$O$5:$O$204,'Master Data'!$O133),0)</f>
        <v>0.704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6" t="s">
        <v>9</v>
      </c>
      <c r="C134" s="7">
        <f>IFERROR(_xlfn.PERCENTRANK.INC('Master Data'!$C$5:$C$204,'Master Data'!$C134),0)</f>
        <v>0.513</v>
      </c>
      <c r="D134" s="7">
        <f>IFERROR(_xlfn.PERCENTRANK.INC('Master Data'!$D$5:$D$204,'Master Data'!$D134),0)</f>
        <v>0.935</v>
      </c>
      <c r="E134" s="7">
        <f>IFERROR(_xlfn.PERCENTRANK.INC('Master Data'!$E$5:$E$204,'Master Data'!$E134),0)</f>
        <v>0.814</v>
      </c>
      <c r="F134" s="7">
        <f>IFERROR(_xlfn.PERCENTRANK.INC('Master Data'!$F$5:$F$204,'Master Data'!$F134),0)</f>
        <v>0.663</v>
      </c>
      <c r="G134" s="7">
        <f>IFERROR(_xlfn.PERCENTRANK.INC('Master Data'!$G$5:$G$204,'Master Data'!$G134),0)</f>
        <v>0.538</v>
      </c>
      <c r="H134" s="7">
        <f>IFERROR(_xlfn.PERCENTRANK.INC('Master Data'!$H$5:$H$204,'Master Data'!$H134),0)</f>
        <v>0.734</v>
      </c>
      <c r="I134" s="7">
        <f>IFERROR(_xlfn.PERCENTRANK.INC('Master Data'!$I$5:$I$204,'Master Data'!$I134),0)</f>
        <v>0.593</v>
      </c>
      <c r="J134" s="7">
        <f>IFERROR(1-_xlfn.PERCENTRANK.INC('Master Data'!$J$5:$J$204,'Master Data'!$J134),0)</f>
        <v>0.915</v>
      </c>
      <c r="K134" s="7">
        <f>IFERROR(1-_xlfn.PERCENTRANK.INC('Master Data'!$K$5:$K$204,'Master Data'!$K134),0)</f>
        <v>0.869</v>
      </c>
      <c r="L134" s="7">
        <f>IFERROR(_xlfn.PERCENTRANK.INC('Master Data'!$L$5:$L$204,'Master Data'!$L134),0)</f>
        <v>0.925</v>
      </c>
      <c r="M134" s="7">
        <f>IFERROR(1-_xlfn.PERCENTRANK.INC('Master Data'!$M$5:$M$204,'Master Data'!$M134),0)</f>
        <v>0.965</v>
      </c>
      <c r="N134" s="7">
        <f>IFERROR(1-_xlfn.PERCENTRANK.INC('Master Data'!$N$5:$N$204,'Master Data'!$N134),0)</f>
        <v>0.709</v>
      </c>
      <c r="O134" s="7">
        <f>IFERROR(1-_xlfn.PERCENTRANK.INC('Master Data'!$O$5:$O$204,'Master Data'!$O134),0)</f>
        <v>0.864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6" t="s">
        <v>34</v>
      </c>
      <c r="C135" s="7">
        <f>IFERROR(_xlfn.PERCENTRANK.INC('Master Data'!$C$5:$C$204,'Master Data'!$C135),0)</f>
        <v>0.417</v>
      </c>
      <c r="D135" s="7">
        <f>IFERROR(_xlfn.PERCENTRANK.INC('Master Data'!$D$5:$D$204,'Master Data'!$D135),0)</f>
        <v>0.482</v>
      </c>
      <c r="E135" s="7">
        <f>IFERROR(_xlfn.PERCENTRANK.INC('Master Data'!$E$5:$E$204,'Master Data'!$E135),0)</f>
        <v>0.603</v>
      </c>
      <c r="F135" s="7">
        <f>IFERROR(_xlfn.PERCENTRANK.INC('Master Data'!$F$5:$F$204,'Master Data'!$F135),0)</f>
        <v>0.99</v>
      </c>
      <c r="G135" s="7">
        <f>IFERROR(_xlfn.PERCENTRANK.INC('Master Data'!$G$5:$G$204,'Master Data'!$G135),0)</f>
        <v>0.995</v>
      </c>
      <c r="H135" s="7">
        <f>IFERROR(_xlfn.PERCENTRANK.INC('Master Data'!$H$5:$H$204,'Master Data'!$H135),0)</f>
        <v>0.975</v>
      </c>
      <c r="I135" s="7">
        <f>IFERROR(_xlfn.PERCENTRANK.INC('Master Data'!$I$5:$I$204,'Master Data'!$I135),0)</f>
        <v>0.935</v>
      </c>
      <c r="J135" s="7">
        <f>IFERROR(1-_xlfn.PERCENTRANK.INC('Master Data'!$J$5:$J$204,'Master Data'!$J135),0)</f>
        <v>0.628</v>
      </c>
      <c r="K135" s="7">
        <f>IFERROR(1-_xlfn.PERCENTRANK.INC('Master Data'!$K$5:$K$204,'Master Data'!$K135),0)</f>
        <v>0.804</v>
      </c>
      <c r="L135" s="7">
        <f>IFERROR(_xlfn.PERCENTRANK.INC('Master Data'!$L$5:$L$204,'Master Data'!$L135),0)</f>
        <v>0.613</v>
      </c>
      <c r="M135" s="7">
        <f>IFERROR(1-_xlfn.PERCENTRANK.INC('Master Data'!$M$5:$M$204,'Master Data'!$M135),0)</f>
        <v>0.291</v>
      </c>
      <c r="N135" s="7">
        <f>IFERROR(1-_xlfn.PERCENTRANK.INC('Master Data'!$N$5:$N$204,'Master Data'!$N135),0)</f>
        <v>0.894</v>
      </c>
      <c r="O135" s="7">
        <f>IFERROR(1-_xlfn.PERCENTRANK.INC('Master Data'!$O$5:$O$204,'Master Data'!$O135),0)</f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6" t="s">
        <v>173</v>
      </c>
      <c r="C136" s="7">
        <f>IFERROR(_xlfn.PERCENTRANK.INC('Master Data'!$C$5:$C$204,'Master Data'!$C136),0)</f>
        <v>0.156</v>
      </c>
      <c r="D136" s="7">
        <f>IFERROR(_xlfn.PERCENTRANK.INC('Master Data'!$D$5:$D$204,'Master Data'!$D136),0)</f>
        <v>0.211</v>
      </c>
      <c r="E136" s="7">
        <f>IFERROR(_xlfn.PERCENTRANK.INC('Master Data'!$E$5:$E$204,'Master Data'!$E136),0)</f>
        <v>0.347</v>
      </c>
      <c r="F136" s="7">
        <f>IFERROR(_xlfn.PERCENTRANK.INC('Master Data'!$F$5:$F$204,'Master Data'!$F136),0)</f>
        <v>0.256</v>
      </c>
      <c r="G136" s="7">
        <f>IFERROR(_xlfn.PERCENTRANK.INC('Master Data'!$G$5:$G$204,'Master Data'!$G136),0)</f>
        <v>0.302</v>
      </c>
      <c r="H136" s="7">
        <f>IFERROR(_xlfn.PERCENTRANK.INC('Master Data'!$H$5:$H$204,'Master Data'!$H136),0)</f>
        <v>0.417</v>
      </c>
      <c r="I136" s="7">
        <f>IFERROR(_xlfn.PERCENTRANK.INC('Master Data'!$I$5:$I$204,'Master Data'!$I136),0)</f>
        <v>0.131</v>
      </c>
      <c r="J136" s="7">
        <f>IFERROR(1-_xlfn.PERCENTRANK.INC('Master Data'!$J$5:$J$204,'Master Data'!$J136),0)</f>
        <v>0.286</v>
      </c>
      <c r="K136" s="7">
        <f>IFERROR(1-_xlfn.PERCENTRANK.INC('Master Data'!$K$5:$K$204,'Master Data'!$K136),0)</f>
        <v>0.226</v>
      </c>
      <c r="L136" s="7">
        <f>IFERROR(_xlfn.PERCENTRANK.INC('Master Data'!$L$5:$L$204,'Master Data'!$L136),0)</f>
        <v>0.362</v>
      </c>
      <c r="M136" s="7">
        <f>IFERROR(1-_xlfn.PERCENTRANK.INC('Master Data'!$M$5:$M$204,'Master Data'!$M136),0)</f>
        <v>0.533</v>
      </c>
      <c r="N136" s="7">
        <f>IFERROR(1-_xlfn.PERCENTRANK.INC('Master Data'!$N$5:$N$204,'Master Data'!$N136),0)</f>
        <v>0.809</v>
      </c>
      <c r="O136" s="7">
        <f>IFERROR(1-_xlfn.PERCENTRANK.INC('Master Data'!$O$5:$O$204,'Master Data'!$O136),0)</f>
        <v>0.814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6" t="s">
        <v>12</v>
      </c>
      <c r="C137" s="7">
        <f>IFERROR(_xlfn.PERCENTRANK.INC('Master Data'!$C$5:$C$204,'Master Data'!$C137),0)</f>
        <v>0.764</v>
      </c>
      <c r="D137" s="7">
        <f>IFERROR(_xlfn.PERCENTRANK.INC('Master Data'!$D$5:$D$204,'Master Data'!$D137),0)</f>
        <v>0.593</v>
      </c>
      <c r="E137" s="7">
        <f>IFERROR(_xlfn.PERCENTRANK.INC('Master Data'!$E$5:$E$204,'Master Data'!$E137),0)</f>
        <v>0.467</v>
      </c>
      <c r="F137" s="7">
        <f>IFERROR(_xlfn.PERCENTRANK.INC('Master Data'!$F$5:$F$204,'Master Data'!$F137),0)</f>
        <v>0.864</v>
      </c>
      <c r="G137" s="7">
        <f>IFERROR(_xlfn.PERCENTRANK.INC('Master Data'!$G$5:$G$204,'Master Data'!$G137),0)</f>
        <v>0.844</v>
      </c>
      <c r="H137" s="7">
        <f>IFERROR(_xlfn.PERCENTRANK.INC('Master Data'!$H$5:$H$204,'Master Data'!$H137),0)</f>
        <v>0.905</v>
      </c>
      <c r="I137" s="7">
        <f>IFERROR(_xlfn.PERCENTRANK.INC('Master Data'!$I$5:$I$204,'Master Data'!$I137),0)</f>
        <v>0.457</v>
      </c>
      <c r="J137" s="7">
        <f>IFERROR(1-_xlfn.PERCENTRANK.INC('Master Data'!$J$5:$J$204,'Master Data'!$J137),0)</f>
        <v>0.698</v>
      </c>
      <c r="K137" s="7">
        <f>IFERROR(1-_xlfn.PERCENTRANK.INC('Master Data'!$K$5:$K$204,'Master Data'!$K137),0)</f>
        <v>0.688</v>
      </c>
      <c r="L137" s="7">
        <f>IFERROR(_xlfn.PERCENTRANK.INC('Master Data'!$L$5:$L$204,'Master Data'!$L137),0)</f>
        <v>0.889</v>
      </c>
      <c r="M137" s="7">
        <f>IFERROR(1-_xlfn.PERCENTRANK.INC('Master Data'!$M$5:$M$204,'Master Data'!$M137),0)</f>
        <v>0.945</v>
      </c>
      <c r="N137" s="7">
        <f>IFERROR(1-_xlfn.PERCENTRANK.INC('Master Data'!$N$5:$N$204,'Master Data'!$N137),0)</f>
        <v>0.573</v>
      </c>
      <c r="O137" s="7">
        <f>IFERROR(1-_xlfn.PERCENTRANK.INC('Master Data'!$O$5:$O$204,'Master Data'!$O137),0)</f>
        <v>0.829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6" t="s">
        <v>202</v>
      </c>
      <c r="C138" s="7">
        <f>IFERROR(_xlfn.PERCENTRANK.INC('Master Data'!$C$5:$C$204,'Master Data'!$C138),0)</f>
        <v>0.03</v>
      </c>
      <c r="D138" s="7">
        <f>IFERROR(_xlfn.PERCENTRANK.INC('Master Data'!$D$5:$D$204,'Master Data'!$D138),0)</f>
        <v>0.05</v>
      </c>
      <c r="E138" s="7">
        <f>IFERROR(_xlfn.PERCENTRANK.INC('Master Data'!$E$5:$E$204,'Master Data'!$E138),0)</f>
        <v>0.04</v>
      </c>
      <c r="F138" s="7">
        <f>IFERROR(_xlfn.PERCENTRANK.INC('Master Data'!$F$5:$F$204,'Master Data'!$F138),0)</f>
        <v>0.101</v>
      </c>
      <c r="G138" s="7">
        <f>IFERROR(_xlfn.PERCENTRANK.INC('Master Data'!$G$5:$G$204,'Master Data'!$G138),0)</f>
        <v>0.136</v>
      </c>
      <c r="H138" s="7">
        <f>IFERROR(_xlfn.PERCENTRANK.INC('Master Data'!$H$5:$H$204,'Master Data'!$H138),0)</f>
        <v>0.181</v>
      </c>
      <c r="I138" s="7">
        <f>IFERROR(_xlfn.PERCENTRANK.INC('Master Data'!$I$5:$I$204,'Master Data'!$I138),0)</f>
        <v>0.015</v>
      </c>
      <c r="J138" s="7">
        <f>IFERROR(1-_xlfn.PERCENTRANK.INC('Master Data'!$J$5:$J$204,'Master Data'!$J138),0)</f>
        <v>0.246</v>
      </c>
      <c r="K138" s="7">
        <f>IFERROR(1-_xlfn.PERCENTRANK.INC('Master Data'!$K$5:$K$204,'Master Data'!$K138),0)</f>
        <v>0.111</v>
      </c>
      <c r="L138" s="7">
        <f>IFERROR(_xlfn.PERCENTRANK.INC('Master Data'!$L$5:$L$204,'Master Data'!$L138),0)</f>
        <v>0.206</v>
      </c>
      <c r="M138" s="7">
        <f>IFERROR(1-_xlfn.PERCENTRANK.INC('Master Data'!$M$5:$M$204,'Master Data'!$M138),0)</f>
        <v>0.261</v>
      </c>
      <c r="N138" s="7">
        <f>IFERROR(1-_xlfn.PERCENTRANK.INC('Master Data'!$N$5:$N$204,'Master Data'!$N138),0)</f>
        <v>0.96</v>
      </c>
      <c r="O138" s="7">
        <f>IFERROR(1-_xlfn.PERCENTRANK.INC('Master Data'!$O$5:$O$204,'Master Data'!$O138),0)</f>
        <v>0.588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6" t="s">
        <v>140</v>
      </c>
      <c r="C139" s="7">
        <f>IFERROR(_xlfn.PERCENTRANK.INC('Master Data'!$C$5:$C$204,'Master Data'!$C139),0)</f>
        <v>0.492</v>
      </c>
      <c r="D139" s="7">
        <f>IFERROR(_xlfn.PERCENTRANK.INC('Master Data'!$D$5:$D$204,'Master Data'!$D139),0)</f>
        <v>0.558</v>
      </c>
      <c r="E139" s="7">
        <f>IFERROR(_xlfn.PERCENTRANK.INC('Master Data'!$E$5:$E$204,'Master Data'!$E139),0)</f>
        <v>0.367</v>
      </c>
      <c r="F139" s="7">
        <f>IFERROR(_xlfn.PERCENTRANK.INC('Master Data'!$F$5:$F$204,'Master Data'!$F139),0)</f>
        <v>0.312</v>
      </c>
      <c r="G139" s="7">
        <f>IFERROR(_xlfn.PERCENTRANK.INC('Master Data'!$G$5:$G$204,'Master Data'!$G139),0)</f>
        <v>0.362</v>
      </c>
      <c r="H139" s="7">
        <f>IFERROR(_xlfn.PERCENTRANK.INC('Master Data'!$H$5:$H$204,'Master Data'!$H139),0)</f>
        <v>0.382</v>
      </c>
      <c r="I139" s="7">
        <f>IFERROR(_xlfn.PERCENTRANK.INC('Master Data'!$I$5:$I$204,'Master Data'!$I139),0)</f>
        <v>0.347</v>
      </c>
      <c r="J139" s="7">
        <f>IFERROR(1-_xlfn.PERCENTRANK.INC('Master Data'!$J$5:$J$204,'Master Data'!$J139),0)</f>
        <v>0.216</v>
      </c>
      <c r="K139" s="7">
        <f>IFERROR(1-_xlfn.PERCENTRANK.INC('Master Data'!$K$5:$K$204,'Master Data'!$K139),0)</f>
        <v>0.251</v>
      </c>
      <c r="L139" s="7">
        <f>IFERROR(_xlfn.PERCENTRANK.INC('Master Data'!$L$5:$L$204,'Master Data'!$L139),0)</f>
        <v>0.302</v>
      </c>
      <c r="M139" s="7">
        <f>IFERROR(1-_xlfn.PERCENTRANK.INC('Master Data'!$M$5:$M$204,'Master Data'!$M139),0)</f>
        <v>0.905</v>
      </c>
      <c r="N139" s="7">
        <f>IFERROR(1-_xlfn.PERCENTRANK.INC('Master Data'!$N$5:$N$204,'Master Data'!$N139),0)</f>
        <v>0.296</v>
      </c>
      <c r="O139" s="7">
        <f>IFERROR(1-_xlfn.PERCENTRANK.INC('Master Data'!$O$5:$O$204,'Master Data'!$O139),0)</f>
        <v>0.819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6" t="s">
        <v>88</v>
      </c>
      <c r="C140" s="7">
        <f>IFERROR(_xlfn.PERCENTRANK.INC('Master Data'!$C$5:$C$204,'Master Data'!$C140),0)</f>
        <v>0.769</v>
      </c>
      <c r="D140" s="7">
        <f>IFERROR(_xlfn.PERCENTRANK.INC('Master Data'!$D$5:$D$204,'Master Data'!$D140),0)</f>
        <v>0.779</v>
      </c>
      <c r="E140" s="7">
        <f>IFERROR(_xlfn.PERCENTRANK.INC('Master Data'!$E$5:$E$204,'Master Data'!$E140),0)</f>
        <v>0.643</v>
      </c>
      <c r="F140" s="7">
        <f>IFERROR(_xlfn.PERCENTRANK.INC('Master Data'!$F$5:$F$204,'Master Data'!$F140),0)</f>
        <v>0.377</v>
      </c>
      <c r="G140" s="7">
        <f>IFERROR(_xlfn.PERCENTRANK.INC('Master Data'!$G$5:$G$204,'Master Data'!$G140),0)</f>
        <v>0.296</v>
      </c>
      <c r="H140" s="7">
        <f>IFERROR(_xlfn.PERCENTRANK.INC('Master Data'!$H$5:$H$204,'Master Data'!$H140),0)</f>
        <v>0.563</v>
      </c>
      <c r="I140" s="7">
        <f>IFERROR(_xlfn.PERCENTRANK.INC('Master Data'!$I$5:$I$204,'Master Data'!$I140),0)</f>
        <v>0.251</v>
      </c>
      <c r="J140" s="7">
        <f>IFERROR(1-_xlfn.PERCENTRANK.INC('Master Data'!$J$5:$J$204,'Master Data'!$J140),0)</f>
        <v>0.543</v>
      </c>
      <c r="K140" s="7">
        <f>IFERROR(1-_xlfn.PERCENTRANK.INC('Master Data'!$K$5:$K$204,'Master Data'!$K140),0)</f>
        <v>0.437</v>
      </c>
      <c r="L140" s="7">
        <f>IFERROR(_xlfn.PERCENTRANK.INC('Master Data'!$L$5:$L$204,'Master Data'!$L140),0)</f>
        <v>0.744</v>
      </c>
      <c r="M140" s="7">
        <f>IFERROR(1-_xlfn.PERCENTRANK.INC('Master Data'!$M$5:$M$204,'Master Data'!$M140),0)</f>
        <v>0.543</v>
      </c>
      <c r="N140" s="7">
        <f>IFERROR(1-_xlfn.PERCENTRANK.INC('Master Data'!$N$5:$N$204,'Master Data'!$N140),0)</f>
        <v>0.327</v>
      </c>
      <c r="O140" s="7">
        <f>IFERROR(1-_xlfn.PERCENTRANK.INC('Master Data'!$O$5:$O$204,'Master Data'!$O140),0)</f>
        <v>0.643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6" t="s">
        <v>57</v>
      </c>
      <c r="C141" s="7">
        <f>IFERROR(_xlfn.PERCENTRANK.INC('Master Data'!$C$5:$C$204,'Master Data'!$C141),0)</f>
        <v>0.271</v>
      </c>
      <c r="D141" s="7">
        <f>IFERROR(_xlfn.PERCENTRANK.INC('Master Data'!$D$5:$D$204,'Master Data'!$D141),0)</f>
        <v>0.372</v>
      </c>
      <c r="E141" s="7">
        <f>IFERROR(_xlfn.PERCENTRANK.INC('Master Data'!$E$5:$E$204,'Master Data'!$E141),0)</f>
        <v>0.432</v>
      </c>
      <c r="F141" s="7">
        <f>IFERROR(_xlfn.PERCENTRANK.INC('Master Data'!$F$5:$F$204,'Master Data'!$F141),0)</f>
        <v>0.538</v>
      </c>
      <c r="G141" s="7">
        <f>IFERROR(_xlfn.PERCENTRANK.INC('Master Data'!$G$5:$G$204,'Master Data'!$G141),0)</f>
        <v>0.372</v>
      </c>
      <c r="H141" s="7">
        <f>IFERROR(_xlfn.PERCENTRANK.INC('Master Data'!$H$5:$H$204,'Master Data'!$H141),0)</f>
        <v>0.613</v>
      </c>
      <c r="I141" s="7">
        <f>IFERROR(_xlfn.PERCENTRANK.INC('Master Data'!$I$5:$I$204,'Master Data'!$I141),0)</f>
        <v>0.618</v>
      </c>
      <c r="J141" s="7">
        <f>IFERROR(1-_xlfn.PERCENTRANK.INC('Master Data'!$J$5:$J$204,'Master Data'!$J141),0)</f>
        <v>0.608</v>
      </c>
      <c r="K141" s="7">
        <f>IFERROR(1-_xlfn.PERCENTRANK.INC('Master Data'!$K$5:$K$204,'Master Data'!$K141),0)</f>
        <v>0.578</v>
      </c>
      <c r="L141" s="7">
        <f>IFERROR(_xlfn.PERCENTRANK.INC('Master Data'!$L$5:$L$204,'Master Data'!$L141),0)</f>
        <v>0.543</v>
      </c>
      <c r="M141" s="7">
        <f>IFERROR(1-_xlfn.PERCENTRANK.INC('Master Data'!$M$5:$M$204,'Master Data'!$M141),0)</f>
        <v>0.96</v>
      </c>
      <c r="N141" s="7">
        <f>IFERROR(1-_xlfn.PERCENTRANK.INC('Master Data'!$N$5:$N$204,'Master Data'!$N141),0)</f>
        <v>0.779</v>
      </c>
      <c r="O141" s="7">
        <f>IFERROR(1-_xlfn.PERCENTRANK.INC('Master Data'!$O$5:$O$204,'Master Data'!$O141),0)</f>
        <v>0.95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6" t="s">
        <v>112</v>
      </c>
      <c r="C142" s="7">
        <f>IFERROR(_xlfn.PERCENTRANK.INC('Master Data'!$C$5:$C$204,'Master Data'!$C142),0)</f>
        <v>0.377</v>
      </c>
      <c r="D142" s="7">
        <f>IFERROR(_xlfn.PERCENTRANK.INC('Master Data'!$D$5:$D$204,'Master Data'!$D142),0)</f>
        <v>0.467</v>
      </c>
      <c r="E142" s="7">
        <f>IFERROR(_xlfn.PERCENTRANK.INC('Master Data'!$E$5:$E$204,'Master Data'!$E142),0)</f>
        <v>0.508</v>
      </c>
      <c r="F142" s="7">
        <f>IFERROR(_xlfn.PERCENTRANK.INC('Master Data'!$F$5:$F$204,'Master Data'!$F142),0)</f>
        <v>0.387</v>
      </c>
      <c r="G142" s="7">
        <f>IFERROR(_xlfn.PERCENTRANK.INC('Master Data'!$G$5:$G$204,'Master Data'!$G142),0)</f>
        <v>0.357</v>
      </c>
      <c r="H142" s="7">
        <f>IFERROR(_xlfn.PERCENTRANK.INC('Master Data'!$H$5:$H$204,'Master Data'!$H142),0)</f>
        <v>0.543</v>
      </c>
      <c r="I142" s="7">
        <f>IFERROR(_xlfn.PERCENTRANK.INC('Master Data'!$I$5:$I$204,'Master Data'!$I142),0)</f>
        <v>0.302</v>
      </c>
      <c r="J142" s="7">
        <f>IFERROR(1-_xlfn.PERCENTRANK.INC('Master Data'!$J$5:$J$204,'Master Data'!$J142),0)</f>
        <v>0.427</v>
      </c>
      <c r="K142" s="7">
        <f>IFERROR(1-_xlfn.PERCENTRANK.INC('Master Data'!$K$5:$K$204,'Master Data'!$K142),0)</f>
        <v>0.307</v>
      </c>
      <c r="L142" s="7">
        <f>IFERROR(_xlfn.PERCENTRANK.INC('Master Data'!$L$5:$L$204,'Master Data'!$L142),0)</f>
        <v>0.447</v>
      </c>
      <c r="M142" s="7">
        <f>IFERROR(1-_xlfn.PERCENTRANK.INC('Master Data'!$M$5:$M$204,'Master Data'!$M142),0)</f>
        <v>0.935</v>
      </c>
      <c r="N142" s="7">
        <f>IFERROR(1-_xlfn.PERCENTRANK.INC('Master Data'!$N$5:$N$204,'Master Data'!$N142),0)</f>
        <v>0.437</v>
      </c>
      <c r="O142" s="7">
        <f>IFERROR(1-_xlfn.PERCENTRANK.INC('Master Data'!$O$5:$O$204,'Master Data'!$O142),0)</f>
        <v>0.925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6" t="s">
        <v>141</v>
      </c>
      <c r="C143" s="7">
        <f>IFERROR(_xlfn.PERCENTRANK.INC('Master Data'!$C$5:$C$204,'Master Data'!$C143),0)</f>
        <v>0.975</v>
      </c>
      <c r="D143" s="7">
        <f>IFERROR(_xlfn.PERCENTRANK.INC('Master Data'!$D$5:$D$204,'Master Data'!$D143),0)</f>
        <v>0.035</v>
      </c>
      <c r="E143" s="7">
        <f>IFERROR(_xlfn.PERCENTRANK.INC('Master Data'!$E$5:$E$204,'Master Data'!$E143),0)</f>
        <v>0.015</v>
      </c>
      <c r="F143" s="7">
        <f>IFERROR(_xlfn.PERCENTRANK.INC('Master Data'!$F$5:$F$204,'Master Data'!$F143),0)</f>
        <v>0.01</v>
      </c>
      <c r="G143" s="7">
        <f>IFERROR(_xlfn.PERCENTRANK.INC('Master Data'!$G$5:$G$204,'Master Data'!$G143),0)</f>
        <v>0.015</v>
      </c>
      <c r="H143" s="7">
        <f>IFERROR(_xlfn.PERCENTRANK.INC('Master Data'!$H$5:$H$204,'Master Data'!$H143),0)</f>
        <v>0.015</v>
      </c>
      <c r="I143" s="7">
        <f>IFERROR(_xlfn.PERCENTRANK.INC('Master Data'!$I$5:$I$204,'Master Data'!$I143),0)</f>
        <v>0.322</v>
      </c>
      <c r="J143" s="7">
        <f>IFERROR(1-_xlfn.PERCENTRANK.INC('Master Data'!$J$5:$J$204,'Master Data'!$J143),0)</f>
        <v>0.794</v>
      </c>
      <c r="K143" s="7">
        <f>IFERROR(1-_xlfn.PERCENTRANK.INC('Master Data'!$K$5:$K$204,'Master Data'!$K143),0)</f>
        <v>0.94</v>
      </c>
      <c r="L143" s="7">
        <f>IFERROR(_xlfn.PERCENTRANK.INC('Master Data'!$L$5:$L$204,'Master Data'!$L143),0)</f>
        <v>0</v>
      </c>
      <c r="M143" s="7">
        <f>IFERROR(1-_xlfn.PERCENTRANK.INC('Master Data'!$M$5:$M$204,'Master Data'!$M143),0)</f>
        <v>0.98</v>
      </c>
      <c r="N143" s="7">
        <f>IFERROR(1-_xlfn.PERCENTRANK.INC('Master Data'!$N$5:$N$204,'Master Data'!$N143),0)</f>
        <v>0.588</v>
      </c>
      <c r="O143" s="7">
        <f>IFERROR(1-_xlfn.PERCENTRANK.INC('Master Data'!$O$5:$O$204,'Master Data'!$O143),0)</f>
        <v>0.653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6" t="s">
        <v>20</v>
      </c>
      <c r="C144" s="7">
        <f>IFERROR(_xlfn.PERCENTRANK.INC('Master Data'!$C$5:$C$204,'Master Data'!$C144),0)</f>
        <v>0.191</v>
      </c>
      <c r="D144" s="7">
        <f>IFERROR(_xlfn.PERCENTRANK.INC('Master Data'!$D$5:$D$204,'Master Data'!$D144),0)</f>
        <v>0.382</v>
      </c>
      <c r="E144" s="7">
        <f>IFERROR(_xlfn.PERCENTRANK.INC('Master Data'!$E$5:$E$204,'Master Data'!$E144),0)</f>
        <v>0.658</v>
      </c>
      <c r="F144" s="7">
        <f>IFERROR(_xlfn.PERCENTRANK.INC('Master Data'!$F$5:$F$204,'Master Data'!$F144),0)</f>
        <v>0.955</v>
      </c>
      <c r="G144" s="7">
        <f>IFERROR(_xlfn.PERCENTRANK.INC('Master Data'!$G$5:$G$204,'Master Data'!$G144),0)</f>
        <v>0.94</v>
      </c>
      <c r="H144" s="7">
        <f>IFERROR(_xlfn.PERCENTRANK.INC('Master Data'!$H$5:$H$204,'Master Data'!$H144),0)</f>
        <v>0.985</v>
      </c>
      <c r="I144" s="7">
        <f>IFERROR(_xlfn.PERCENTRANK.INC('Master Data'!$I$5:$I$204,'Master Data'!$I144),0)</f>
        <v>0.497</v>
      </c>
      <c r="J144" s="7">
        <f>IFERROR(1-_xlfn.PERCENTRANK.INC('Master Data'!$J$5:$J$204,'Master Data'!$J144),0)</f>
        <v>0.91</v>
      </c>
      <c r="K144" s="7">
        <f>IFERROR(1-_xlfn.PERCENTRANK.INC('Master Data'!$K$5:$K$204,'Master Data'!$K144),0)</f>
        <v>0.879</v>
      </c>
      <c r="L144" s="7">
        <f>IFERROR(_xlfn.PERCENTRANK.INC('Master Data'!$L$5:$L$204,'Master Data'!$L144),0)</f>
        <v>0.98</v>
      </c>
      <c r="M144" s="7">
        <f>IFERROR(1-_xlfn.PERCENTRANK.INC('Master Data'!$M$5:$M$204,'Master Data'!$M144),0)</f>
        <v>0.558</v>
      </c>
      <c r="N144" s="7">
        <f>IFERROR(1-_xlfn.PERCENTRANK.INC('Master Data'!$N$5:$N$204,'Master Data'!$N144),0)</f>
        <v>0.628</v>
      </c>
      <c r="O144" s="7">
        <f>IFERROR(1-_xlfn.PERCENTRANK.INC('Master Data'!$O$5:$O$204,'Master Data'!$O144),0)</f>
        <v>0.322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6" t="s">
        <v>22</v>
      </c>
      <c r="C145" s="7">
        <f>IFERROR(_xlfn.PERCENTRANK.INC('Master Data'!$C$5:$C$204,'Master Data'!$C145),0)</f>
        <v>0.754</v>
      </c>
      <c r="D145" s="7">
        <f>IFERROR(_xlfn.PERCENTRANK.INC('Master Data'!$D$5:$D$204,'Master Data'!$D145),0)</f>
        <v>0.839</v>
      </c>
      <c r="E145" s="7">
        <f>IFERROR(_xlfn.PERCENTRANK.INC('Master Data'!$E$5:$E$204,'Master Data'!$E145),0)</f>
        <v>0.784</v>
      </c>
      <c r="F145" s="7">
        <f>IFERROR(_xlfn.PERCENTRANK.INC('Master Data'!$F$5:$F$204,'Master Data'!$F145),0)</f>
        <v>0.734</v>
      </c>
      <c r="G145" s="7">
        <f>IFERROR(_xlfn.PERCENTRANK.INC('Master Data'!$G$5:$G$204,'Master Data'!$G145),0)</f>
        <v>0.739</v>
      </c>
      <c r="H145" s="7">
        <f>IFERROR(_xlfn.PERCENTRANK.INC('Master Data'!$H$5:$H$204,'Master Data'!$H145),0)</f>
        <v>0.829</v>
      </c>
      <c r="I145" s="7">
        <f>IFERROR(_xlfn.PERCENTRANK.INC('Master Data'!$I$5:$I$204,'Master Data'!$I145),0)</f>
        <v>0.497</v>
      </c>
      <c r="J145" s="7">
        <f>IFERROR(1-_xlfn.PERCENTRANK.INC('Master Data'!$J$5:$J$204,'Master Data'!$J145),0)</f>
        <v>0.764</v>
      </c>
      <c r="K145" s="7">
        <f>IFERROR(1-_xlfn.PERCENTRANK.INC('Master Data'!$K$5:$K$204,'Master Data'!$K145),0)</f>
        <v>0.698</v>
      </c>
      <c r="L145" s="7">
        <f>IFERROR(_xlfn.PERCENTRANK.INC('Master Data'!$L$5:$L$204,'Master Data'!$L145),0)</f>
        <v>0.719</v>
      </c>
      <c r="M145" s="7">
        <f>IFERROR(1-_xlfn.PERCENTRANK.INC('Master Data'!$M$5:$M$204,'Master Data'!$M145),0)</f>
        <v>0.628</v>
      </c>
      <c r="N145" s="7">
        <f>IFERROR(1-_xlfn.PERCENTRANK.INC('Master Data'!$N$5:$N$204,'Master Data'!$N145),0)</f>
        <v>0.161</v>
      </c>
      <c r="O145" s="7">
        <f>IFERROR(1-_xlfn.PERCENTRANK.INC('Master Data'!$O$5:$O$204,'Master Data'!$O145),0)</f>
        <v>0.568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6" t="s">
        <v>64</v>
      </c>
      <c r="C146" s="7">
        <f>IFERROR(_xlfn.PERCENTRANK.INC('Master Data'!$C$5:$C$204,'Master Data'!$C146),0)</f>
        <v>0.598</v>
      </c>
      <c r="D146" s="7">
        <f>IFERROR(_xlfn.PERCENTRANK.INC('Master Data'!$D$5:$D$204,'Master Data'!$D146),0)</f>
        <v>0.548</v>
      </c>
      <c r="E146" s="7">
        <f>IFERROR(_xlfn.PERCENTRANK.INC('Master Data'!$E$5:$E$204,'Master Data'!$E146),0)</f>
        <v>0.563</v>
      </c>
      <c r="F146" s="7">
        <f>IFERROR(_xlfn.PERCENTRANK.INC('Master Data'!$F$5:$F$204,'Master Data'!$F146),0)</f>
        <v>0.965</v>
      </c>
      <c r="G146" s="7">
        <f>IFERROR(_xlfn.PERCENTRANK.INC('Master Data'!$G$5:$G$204,'Master Data'!$G146),0)</f>
        <v>0.96</v>
      </c>
      <c r="H146" s="7">
        <f>IFERROR(_xlfn.PERCENTRANK.INC('Master Data'!$H$5:$H$204,'Master Data'!$H146),0)</f>
        <v>0.97</v>
      </c>
      <c r="I146" s="7">
        <f>IFERROR(_xlfn.PERCENTRANK.INC('Master Data'!$I$5:$I$204,'Master Data'!$I146),0)</f>
        <v>0.945</v>
      </c>
      <c r="J146" s="7">
        <f>IFERROR(1-_xlfn.PERCENTRANK.INC('Master Data'!$J$5:$J$204,'Master Data'!$J146),0)</f>
        <v>0.568</v>
      </c>
      <c r="K146" s="7">
        <f>IFERROR(1-_xlfn.PERCENTRANK.INC('Master Data'!$K$5:$K$204,'Master Data'!$K146),0)</f>
        <v>0.693</v>
      </c>
      <c r="L146" s="7">
        <f>IFERROR(_xlfn.PERCENTRANK.INC('Master Data'!$L$5:$L$204,'Master Data'!$L146),0)</f>
        <v>0.578</v>
      </c>
      <c r="M146" s="7">
        <f>IFERROR(1-_xlfn.PERCENTRANK.INC('Master Data'!$M$5:$M$204,'Master Data'!$M146),0)</f>
        <v>0.307</v>
      </c>
      <c r="N146" s="7">
        <f>IFERROR(1-_xlfn.PERCENTRANK.INC('Master Data'!$N$5:$N$204,'Master Data'!$N146),0)</f>
        <v>0.271</v>
      </c>
      <c r="O146" s="7">
        <f>IFERROR(1-_xlfn.PERCENTRANK.INC('Master Data'!$O$5:$O$204,'Master Data'!$O146),0)</f>
        <v>0.02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6" t="s">
        <v>131</v>
      </c>
      <c r="C147" s="7">
        <f>IFERROR(_xlfn.PERCENTRANK.INC('Master Data'!$C$5:$C$204,'Master Data'!$C147),0)</f>
        <v>0.161</v>
      </c>
      <c r="D147" s="7">
        <f>IFERROR(_xlfn.PERCENTRANK.INC('Master Data'!$D$5:$D$204,'Master Data'!$D147),0)</f>
        <v>0.98</v>
      </c>
      <c r="E147" s="7">
        <f>IFERROR(_xlfn.PERCENTRANK.INC('Master Data'!$E$5:$E$204,'Master Data'!$E147),0)</f>
        <v>0.04</v>
      </c>
      <c r="F147" s="7">
        <f>IFERROR(_xlfn.PERCENTRANK.INC('Master Data'!$F$5:$F$204,'Master Data'!$F147),0)</f>
        <v>0.025</v>
      </c>
      <c r="G147" s="7">
        <f>IFERROR(_xlfn.PERCENTRANK.INC('Master Data'!$G$5:$G$204,'Master Data'!$G147),0)</f>
        <v>0.93</v>
      </c>
      <c r="H147" s="7">
        <f>IFERROR(_xlfn.PERCENTRANK.INC('Master Data'!$H$5:$H$204,'Master Data'!$H147),0)</f>
        <v>0.472</v>
      </c>
      <c r="I147" s="7">
        <f>IFERROR(_xlfn.PERCENTRANK.INC('Master Data'!$I$5:$I$204,'Master Data'!$I147),0)</f>
        <v>0.98</v>
      </c>
      <c r="J147" s="7">
        <f>IFERROR(1-_xlfn.PERCENTRANK.INC('Master Data'!$J$5:$J$204,'Master Data'!$J147),0)</f>
        <v>0.367</v>
      </c>
      <c r="K147" s="7">
        <f>IFERROR(1-_xlfn.PERCENTRANK.INC('Master Data'!$K$5:$K$204,'Master Data'!$K147),0)</f>
        <v>0.181</v>
      </c>
      <c r="L147" s="7">
        <f>IFERROR(_xlfn.PERCENTRANK.INC('Master Data'!$L$5:$L$204,'Master Data'!$L147),0)</f>
        <v>0.528</v>
      </c>
      <c r="M147" s="7">
        <f>IFERROR(1-_xlfn.PERCENTRANK.INC('Master Data'!$M$5:$M$204,'Master Data'!$M147),0)</f>
        <v>0.402</v>
      </c>
      <c r="N147" s="7">
        <f>IFERROR(1-_xlfn.PERCENTRANK.INC('Master Data'!$N$5:$N$204,'Master Data'!$N147),0)</f>
        <v>0.492</v>
      </c>
      <c r="O147" s="7">
        <f>IFERROR(1-_xlfn.PERCENTRANK.INC('Master Data'!$O$5:$O$204,'Master Data'!$O147),0)</f>
        <v>0.503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6" t="s">
        <v>74</v>
      </c>
      <c r="C148" s="7">
        <f>IFERROR(_xlfn.PERCENTRANK.INC('Master Data'!$C$5:$C$204,'Master Data'!$C148),0)</f>
        <v>0.648</v>
      </c>
      <c r="D148" s="7">
        <f>IFERROR(_xlfn.PERCENTRANK.INC('Master Data'!$D$5:$D$204,'Master Data'!$D148),0)</f>
        <v>0.447</v>
      </c>
      <c r="E148" s="7">
        <f>IFERROR(_xlfn.PERCENTRANK.INC('Master Data'!$E$5:$E$204,'Master Data'!$E148),0)</f>
        <v>0.04</v>
      </c>
      <c r="F148" s="7">
        <f>IFERROR(_xlfn.PERCENTRANK.INC('Master Data'!$F$5:$F$204,'Master Data'!$F148),0)</f>
        <v>0.03</v>
      </c>
      <c r="G148" s="7">
        <f>IFERROR(_xlfn.PERCENTRANK.INC('Master Data'!$G$5:$G$204,'Master Data'!$G148),0)</f>
        <v>0.07</v>
      </c>
      <c r="H148" s="7">
        <f>IFERROR(_xlfn.PERCENTRANK.INC('Master Data'!$H$5:$H$204,'Master Data'!$H148),0)</f>
        <v>0.106</v>
      </c>
      <c r="I148" s="7">
        <f>IFERROR(_xlfn.PERCENTRANK.INC('Master Data'!$I$5:$I$204,'Master Data'!$I148),0)</f>
        <v>0.513</v>
      </c>
      <c r="J148" s="7">
        <f>IFERROR(1-_xlfn.PERCENTRANK.INC('Master Data'!$J$5:$J$204,'Master Data'!$J148),0)</f>
        <v>0.955</v>
      </c>
      <c r="K148" s="7">
        <f>IFERROR(1-_xlfn.PERCENTRANK.INC('Master Data'!$K$5:$K$204,'Master Data'!$K148),0)</f>
        <v>0.945</v>
      </c>
      <c r="L148" s="7">
        <f>IFERROR(_xlfn.PERCENTRANK.INC('Master Data'!$L$5:$L$204,'Master Data'!$L148),0)</f>
        <v>0.915</v>
      </c>
      <c r="M148" s="7">
        <f>IFERROR(1-_xlfn.PERCENTRANK.INC('Master Data'!$M$5:$M$204,'Master Data'!$M148),0)</f>
        <v>0.99</v>
      </c>
      <c r="N148" s="7">
        <f>IFERROR(1-_xlfn.PERCENTRANK.INC('Master Data'!$N$5:$N$204,'Master Data'!$N148),0)</f>
        <v>0.995</v>
      </c>
      <c r="O148" s="7">
        <f>IFERROR(1-_xlfn.PERCENTRANK.INC('Master Data'!$O$5:$O$204,'Master Data'!$O148),0)</f>
        <v>0.307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6" t="s">
        <v>18</v>
      </c>
      <c r="C149" s="7">
        <f>IFERROR(_xlfn.PERCENTRANK.INC('Master Data'!$C$5:$C$204,'Master Data'!$C149),0)</f>
        <v>0.945</v>
      </c>
      <c r="D149" s="7">
        <f>IFERROR(_xlfn.PERCENTRANK.INC('Master Data'!$D$5:$D$204,'Master Data'!$D149),0)</f>
        <v>0.814</v>
      </c>
      <c r="E149" s="7">
        <f>IFERROR(_xlfn.PERCENTRANK.INC('Master Data'!$E$5:$E$204,'Master Data'!$E149),0)</f>
        <v>0.714</v>
      </c>
      <c r="F149" s="7">
        <f>IFERROR(_xlfn.PERCENTRANK.INC('Master Data'!$F$5:$F$204,'Master Data'!$F149),0)</f>
        <v>0.779</v>
      </c>
      <c r="G149" s="7">
        <f>IFERROR(_xlfn.PERCENTRANK.INC('Master Data'!$G$5:$G$204,'Master Data'!$G149),0)</f>
        <v>0.734</v>
      </c>
      <c r="H149" s="7">
        <f>IFERROR(_xlfn.PERCENTRANK.INC('Master Data'!$H$5:$H$204,'Master Data'!$H149),0)</f>
        <v>0.859</v>
      </c>
      <c r="I149" s="7">
        <f>IFERROR(_xlfn.PERCENTRANK.INC('Master Data'!$I$5:$I$204,'Master Data'!$I149),0)</f>
        <v>0.879</v>
      </c>
      <c r="J149" s="7">
        <f>IFERROR(1-_xlfn.PERCENTRANK.INC('Master Data'!$J$5:$J$204,'Master Data'!$J149),0)</f>
        <v>0.844</v>
      </c>
      <c r="K149" s="7">
        <f>IFERROR(1-_xlfn.PERCENTRANK.INC('Master Data'!$K$5:$K$204,'Master Data'!$K149),0)</f>
        <v>0.809</v>
      </c>
      <c r="L149" s="7">
        <f>IFERROR(_xlfn.PERCENTRANK.INC('Master Data'!$L$5:$L$204,'Master Data'!$L149),0)</f>
        <v>0.99</v>
      </c>
      <c r="M149" s="7">
        <f>IFERROR(1-_xlfn.PERCENTRANK.INC('Master Data'!$M$5:$M$204,'Master Data'!$M149),0)</f>
        <v>0.251</v>
      </c>
      <c r="N149" s="7">
        <f>IFERROR(1-_xlfn.PERCENTRANK.INC('Master Data'!$N$5:$N$204,'Master Data'!$N149),0)</f>
        <v>0.126</v>
      </c>
      <c r="O149" s="7">
        <f>IFERROR(1-_xlfn.PERCENTRANK.INC('Master Data'!$O$5:$O$204,'Master Data'!$O149),0)</f>
        <v>0.146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6" t="s">
        <v>196</v>
      </c>
      <c r="C150" s="7">
        <f>IFERROR(_xlfn.PERCENTRANK.INC('Master Data'!$C$5:$C$204,'Master Data'!$C150),0)</f>
        <v>0.171</v>
      </c>
      <c r="D150" s="7">
        <f>IFERROR(_xlfn.PERCENTRANK.INC('Master Data'!$D$5:$D$204,'Master Data'!$D150),0)</f>
        <v>0.251</v>
      </c>
      <c r="E150" s="7">
        <f>IFERROR(_xlfn.PERCENTRANK.INC('Master Data'!$E$5:$E$204,'Master Data'!$E150),0)</f>
        <v>0.457</v>
      </c>
      <c r="F150" s="7">
        <f>IFERROR(_xlfn.PERCENTRANK.INC('Master Data'!$F$5:$F$204,'Master Data'!$F150),0)</f>
        <v>0.231</v>
      </c>
      <c r="G150" s="7">
        <f>IFERROR(_xlfn.PERCENTRANK.INC('Master Data'!$G$5:$G$204,'Master Data'!$G150),0)</f>
        <v>0.196</v>
      </c>
      <c r="H150" s="7">
        <f>IFERROR(_xlfn.PERCENTRANK.INC('Master Data'!$H$5:$H$204,'Master Data'!$H150),0)</f>
        <v>0.422</v>
      </c>
      <c r="I150" s="7">
        <f>IFERROR(_xlfn.PERCENTRANK.INC('Master Data'!$I$5:$I$204,'Master Data'!$I150),0)</f>
        <v>0.221</v>
      </c>
      <c r="J150" s="7">
        <f>IFERROR(1-_xlfn.PERCENTRANK.INC('Master Data'!$J$5:$J$204,'Master Data'!$J150),0)</f>
        <v>0.508</v>
      </c>
      <c r="K150" s="7">
        <f>IFERROR(1-_xlfn.PERCENTRANK.INC('Master Data'!$K$5:$K$204,'Master Data'!$K150),0)</f>
        <v>0.312</v>
      </c>
      <c r="L150" s="7">
        <f>IFERROR(_xlfn.PERCENTRANK.INC('Master Data'!$L$5:$L$204,'Master Data'!$L150),0)</f>
        <v>0.347</v>
      </c>
      <c r="M150" s="7">
        <f>IFERROR(1-_xlfn.PERCENTRANK.INC('Master Data'!$M$5:$M$204,'Master Data'!$M150),0)</f>
        <v>0.04</v>
      </c>
      <c r="N150" s="7">
        <f>IFERROR(1-_xlfn.PERCENTRANK.INC('Master Data'!$N$5:$N$204,'Master Data'!$N150),0)</f>
        <v>0.075</v>
      </c>
      <c r="O150" s="7">
        <f>IFERROR(1-_xlfn.PERCENTRANK.INC('Master Data'!$O$5:$O$204,'Master Data'!$O150),0)</f>
        <v>0.246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6" t="s">
        <v>68</v>
      </c>
      <c r="C151" s="7">
        <f>IFERROR(_xlfn.PERCENTRANK.INC('Master Data'!$C$5:$C$204,'Master Data'!$C151),0)</f>
        <v>0.543</v>
      </c>
      <c r="D151" s="7">
        <f>IFERROR(_xlfn.PERCENTRANK.INC('Master Data'!$D$5:$D$204,'Master Data'!$D151),0)</f>
        <v>0.487</v>
      </c>
      <c r="E151" s="7">
        <f>IFERROR(_xlfn.PERCENTRANK.INC('Master Data'!$E$5:$E$204,'Master Data'!$E151),0)</f>
        <v>0.523</v>
      </c>
      <c r="F151" s="7">
        <f>IFERROR(_xlfn.PERCENTRANK.INC('Master Data'!$F$5:$F$204,'Master Data'!$F151),0)</f>
        <v>0.844</v>
      </c>
      <c r="G151" s="7">
        <f>IFERROR(_xlfn.PERCENTRANK.INC('Master Data'!$G$5:$G$204,'Master Data'!$G151),0)</f>
        <v>0.834</v>
      </c>
      <c r="H151" s="7">
        <f>IFERROR(_xlfn.PERCENTRANK.INC('Master Data'!$H$5:$H$204,'Master Data'!$H151),0)</f>
        <v>0.879</v>
      </c>
      <c r="I151" s="7">
        <f>IFERROR(_xlfn.PERCENTRANK.INC('Master Data'!$I$5:$I$204,'Master Data'!$I151),0)</f>
        <v>0.739</v>
      </c>
      <c r="J151" s="7">
        <f>IFERROR(1-_xlfn.PERCENTRANK.INC('Master Data'!$J$5:$J$204,'Master Data'!$J151),0)</f>
        <v>0.824</v>
      </c>
      <c r="K151" s="7">
        <f>IFERROR(1-_xlfn.PERCENTRANK.INC('Master Data'!$K$5:$K$204,'Master Data'!$K151),0)</f>
        <v>0.799</v>
      </c>
      <c r="L151" s="7">
        <f>IFERROR(_xlfn.PERCENTRANK.INC('Master Data'!$L$5:$L$204,'Master Data'!$L151),0)</f>
        <v>0.814</v>
      </c>
      <c r="M151" s="7">
        <f>IFERROR(1-_xlfn.PERCENTRANK.INC('Master Data'!$M$5:$M$204,'Master Data'!$M151),0)</f>
        <v>0.266</v>
      </c>
      <c r="N151" s="7">
        <f>IFERROR(1-_xlfn.PERCENTRANK.INC('Master Data'!$N$5:$N$204,'Master Data'!$N151),0)</f>
        <v>0.121</v>
      </c>
      <c r="O151" s="7">
        <f>IFERROR(1-_xlfn.PERCENTRANK.INC('Master Data'!$O$5:$O$204,'Master Data'!$O151),0)</f>
        <v>0.126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6" t="s">
        <v>28</v>
      </c>
      <c r="C152" s="7">
        <f>IFERROR(_xlfn.PERCENTRANK.INC('Master Data'!$C$5:$C$204,'Master Data'!$C152),0)</f>
        <v>0.829</v>
      </c>
      <c r="D152" s="7">
        <f>IFERROR(_xlfn.PERCENTRANK.INC('Master Data'!$D$5:$D$204,'Master Data'!$D152),0)</f>
        <v>0.869</v>
      </c>
      <c r="E152" s="7">
        <f>IFERROR(_xlfn.PERCENTRANK.INC('Master Data'!$E$5:$E$204,'Master Data'!$E152),0)</f>
        <v>0.91</v>
      </c>
      <c r="F152" s="7">
        <f>IFERROR(_xlfn.PERCENTRANK.INC('Master Data'!$F$5:$F$204,'Master Data'!$F152),0)</f>
        <v>0.784</v>
      </c>
      <c r="G152" s="7">
        <f>IFERROR(_xlfn.PERCENTRANK.INC('Master Data'!$G$5:$G$204,'Master Data'!$G152),0)</f>
        <v>0.714</v>
      </c>
      <c r="H152" s="7">
        <f>IFERROR(_xlfn.PERCENTRANK.INC('Master Data'!$H$5:$H$204,'Master Data'!$H152),0)</f>
        <v>0.794</v>
      </c>
      <c r="I152" s="7">
        <f>IFERROR(_xlfn.PERCENTRANK.INC('Master Data'!$I$5:$I$204,'Master Data'!$I152),0)</f>
        <v>0.93</v>
      </c>
      <c r="J152" s="7">
        <f>IFERROR(1-_xlfn.PERCENTRANK.INC('Master Data'!$J$5:$J$204,'Master Data'!$J152),0)</f>
        <v>0.613</v>
      </c>
      <c r="K152" s="7">
        <f>IFERROR(1-_xlfn.PERCENTRANK.INC('Master Data'!$K$5:$K$204,'Master Data'!$K152),0)</f>
        <v>0.623</v>
      </c>
      <c r="L152" s="7">
        <f>IFERROR(_xlfn.PERCENTRANK.INC('Master Data'!$L$5:$L$204,'Master Data'!$L152),0)</f>
        <v>0.563</v>
      </c>
      <c r="M152" s="7">
        <f>IFERROR(1-_xlfn.PERCENTRANK.INC('Master Data'!$M$5:$M$204,'Master Data'!$M152),0)</f>
        <v>0.503</v>
      </c>
      <c r="N152" s="7">
        <f>IFERROR(1-_xlfn.PERCENTRANK.INC('Master Data'!$N$5:$N$204,'Master Data'!$N152),0)</f>
        <v>0.201</v>
      </c>
      <c r="O152" s="7">
        <f>IFERROR(1-_xlfn.PERCENTRANK.INC('Master Data'!$O$5:$O$204,'Master Data'!$O152),0)</f>
        <v>0.357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6" t="s">
        <v>161</v>
      </c>
      <c r="C153" s="7">
        <f>IFERROR(_xlfn.PERCENTRANK.INC('Master Data'!$C$5:$C$204,'Master Data'!$C153),0)</f>
        <v>0.327</v>
      </c>
      <c r="D153" s="7">
        <f>IFERROR(_xlfn.PERCENTRANK.INC('Master Data'!$D$5:$D$204,'Master Data'!$D153),0)</f>
        <v>0.377</v>
      </c>
      <c r="E153" s="7">
        <f>IFERROR(_xlfn.PERCENTRANK.INC('Master Data'!$E$5:$E$204,'Master Data'!$E153),0)</f>
        <v>0.543</v>
      </c>
      <c r="F153" s="7">
        <f>IFERROR(_xlfn.PERCENTRANK.INC('Master Data'!$F$5:$F$204,'Master Data'!$F153),0)</f>
        <v>0.302</v>
      </c>
      <c r="G153" s="7">
        <f>IFERROR(_xlfn.PERCENTRANK.INC('Master Data'!$G$5:$G$204,'Master Data'!$G153),0)</f>
        <v>0.578</v>
      </c>
      <c r="H153" s="7">
        <f>IFERROR(_xlfn.PERCENTRANK.INC('Master Data'!$H$5:$H$204,'Master Data'!$H153),0)</f>
        <v>0.221</v>
      </c>
      <c r="I153" s="7">
        <f>IFERROR(_xlfn.PERCENTRANK.INC('Master Data'!$I$5:$I$204,'Master Data'!$I153),0)</f>
        <v>0.116</v>
      </c>
      <c r="J153" s="7">
        <f>IFERROR(1-_xlfn.PERCENTRANK.INC('Master Data'!$J$5:$J$204,'Master Data'!$J153),0)</f>
        <v>0.106</v>
      </c>
      <c r="K153" s="7">
        <f>IFERROR(1-_xlfn.PERCENTRANK.INC('Master Data'!$K$5:$K$204,'Master Data'!$K153),0)</f>
        <v>0.151</v>
      </c>
      <c r="L153" s="7">
        <f>IFERROR(_xlfn.PERCENTRANK.INC('Master Data'!$L$5:$L$204,'Master Data'!$L153),0)</f>
        <v>0.141</v>
      </c>
      <c r="M153" s="7">
        <f>IFERROR(1-_xlfn.PERCENTRANK.INC('Master Data'!$M$5:$M$204,'Master Data'!$M153),0)</f>
        <v>0.869</v>
      </c>
      <c r="N153" s="7">
        <f>IFERROR(1-_xlfn.PERCENTRANK.INC('Master Data'!$N$5:$N$204,'Master Data'!$N153),0)</f>
        <v>0.608</v>
      </c>
      <c r="O153" s="7">
        <f>IFERROR(1-_xlfn.PERCENTRANK.INC('Master Data'!$O$5:$O$204,'Master Data'!$O153),0)</f>
        <v>0.899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6" t="s">
        <v>122</v>
      </c>
      <c r="C154" s="7">
        <f>IFERROR(_xlfn.PERCENTRANK.INC('Master Data'!$C$5:$C$204,'Master Data'!$C154),0)</f>
        <v>0.352</v>
      </c>
      <c r="D154" s="7">
        <f>IFERROR(_xlfn.PERCENTRANK.INC('Master Data'!$D$5:$D$204,'Master Data'!$D154),0)</f>
        <v>0.347</v>
      </c>
      <c r="E154" s="7">
        <f>IFERROR(_xlfn.PERCENTRANK.INC('Master Data'!$E$5:$E$204,'Master Data'!$E154),0)</f>
        <v>0.487</v>
      </c>
      <c r="F154" s="7">
        <f>IFERROR(_xlfn.PERCENTRANK.INC('Master Data'!$F$5:$F$204,'Master Data'!$F154),0)</f>
        <v>0.402</v>
      </c>
      <c r="G154" s="7">
        <f>IFERROR(_xlfn.PERCENTRANK.INC('Master Data'!$G$5:$G$204,'Master Data'!$G154),0)</f>
        <v>0.678</v>
      </c>
      <c r="H154" s="7">
        <f>IFERROR(_xlfn.PERCENTRANK.INC('Master Data'!$H$5:$H$204,'Master Data'!$H154),0)</f>
        <v>0.427</v>
      </c>
      <c r="I154" s="7">
        <f>IFERROR(_xlfn.PERCENTRANK.INC('Master Data'!$I$5:$I$204,'Master Data'!$I154),0)</f>
        <v>0.211</v>
      </c>
      <c r="J154" s="7">
        <f>IFERROR(1-_xlfn.PERCENTRANK.INC('Master Data'!$J$5:$J$204,'Master Data'!$J154),0)</f>
        <v>0.166</v>
      </c>
      <c r="K154" s="7">
        <f>IFERROR(1-_xlfn.PERCENTRANK.INC('Master Data'!$K$5:$K$204,'Master Data'!$K154),0)</f>
        <v>0.261</v>
      </c>
      <c r="L154" s="7">
        <f>IFERROR(_xlfn.PERCENTRANK.INC('Master Data'!$L$5:$L$204,'Master Data'!$L154),0)</f>
        <v>0.256</v>
      </c>
      <c r="M154" s="7">
        <f>IFERROR(1-_xlfn.PERCENTRANK.INC('Master Data'!$M$5:$M$204,'Master Data'!$M154),0)</f>
        <v>0.889</v>
      </c>
      <c r="N154" s="7">
        <f>IFERROR(1-_xlfn.PERCENTRANK.INC('Master Data'!$N$5:$N$204,'Master Data'!$N154),0)</f>
        <v>0.965</v>
      </c>
      <c r="O154" s="7">
        <f>IFERROR(1-_xlfn.PERCENTRANK.INC('Master Data'!$O$5:$O$204,'Master Data'!$O154),0)</f>
        <v>0.759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6" t="s">
        <v>192</v>
      </c>
      <c r="C155" s="7">
        <f>IFERROR(_xlfn.PERCENTRANK.INC('Master Data'!$C$5:$C$204,'Master Data'!$C155),0)</f>
        <v>0.03</v>
      </c>
      <c r="D155" s="7">
        <f>IFERROR(_xlfn.PERCENTRANK.INC('Master Data'!$D$5:$D$204,'Master Data'!$D155),0)</f>
        <v>0.05</v>
      </c>
      <c r="E155" s="7">
        <f>IFERROR(_xlfn.PERCENTRANK.INC('Master Data'!$E$5:$E$204,'Master Data'!$E155),0)</f>
        <v>0.04</v>
      </c>
      <c r="F155" s="7">
        <f>IFERROR(_xlfn.PERCENTRANK.INC('Master Data'!$F$5:$F$204,'Master Data'!$F155),0)</f>
        <v>0.432</v>
      </c>
      <c r="G155" s="7">
        <f>IFERROR(_xlfn.PERCENTRANK.INC('Master Data'!$G$5:$G$204,'Master Data'!$G155),0)</f>
        <v>0.231</v>
      </c>
      <c r="H155" s="7">
        <f>IFERROR(_xlfn.PERCENTRANK.INC('Master Data'!$H$5:$H$204,'Master Data'!$H155),0)</f>
        <v>0.347</v>
      </c>
      <c r="I155" s="7">
        <f>IFERROR(_xlfn.PERCENTRANK.INC('Master Data'!$I$5:$I$204,'Master Data'!$I155),0)</f>
        <v>0.839</v>
      </c>
      <c r="J155" s="7">
        <f>IFERROR(1-_xlfn.PERCENTRANK.INC('Master Data'!$J$5:$J$204,'Master Data'!$J155),0)</f>
        <v>0.563</v>
      </c>
      <c r="K155" s="7">
        <f>IFERROR(1-_xlfn.PERCENTRANK.INC('Master Data'!$K$5:$K$204,'Master Data'!$K155),0)</f>
        <v>0.362</v>
      </c>
      <c r="L155" s="7">
        <f>IFERROR(_xlfn.PERCENTRANK.INC('Master Data'!$L$5:$L$204,'Master Data'!$L155),0)</f>
        <v>0.442</v>
      </c>
      <c r="M155" s="7">
        <f>IFERROR(1-_xlfn.PERCENTRANK.INC('Master Data'!$M$5:$M$204,'Master Data'!$M155),0)</f>
        <v>0.005</v>
      </c>
      <c r="N155" s="7">
        <f>IFERROR(1-_xlfn.PERCENTRANK.INC('Master Data'!$N$5:$N$204,'Master Data'!$N155),0)</f>
        <v>0.578</v>
      </c>
      <c r="O155" s="7">
        <f>IFERROR(1-_xlfn.PERCENTRANK.INC('Master Data'!$O$5:$O$204,'Master Data'!$O155),0)</f>
        <v>0.05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6" t="s">
        <v>195</v>
      </c>
      <c r="C156" s="7">
        <f>IFERROR(_xlfn.PERCENTRANK.INC('Master Data'!$C$5:$C$204,'Master Data'!$C156),0)</f>
        <v>0.015</v>
      </c>
      <c r="D156" s="7">
        <f>IFERROR(_xlfn.PERCENTRANK.INC('Master Data'!$D$5:$D$204,'Master Data'!$D156),0)</f>
        <v>0.206</v>
      </c>
      <c r="E156" s="7">
        <f>IFERROR(_xlfn.PERCENTRANK.INC('Master Data'!$E$5:$E$204,'Master Data'!$E156),0)</f>
        <v>0.01</v>
      </c>
      <c r="F156" s="7">
        <f>IFERROR(_xlfn.PERCENTRANK.INC('Master Data'!$F$5:$F$204,'Master Data'!$F156),0)</f>
        <v>0.261</v>
      </c>
      <c r="G156" s="7">
        <f>IFERROR(_xlfn.PERCENTRANK.INC('Master Data'!$G$5:$G$204,'Master Data'!$G156),0)</f>
        <v>0.206</v>
      </c>
      <c r="H156" s="7">
        <f>IFERROR(_xlfn.PERCENTRANK.INC('Master Data'!$H$5:$H$204,'Master Data'!$H156),0)</f>
        <v>0.236</v>
      </c>
      <c r="I156" s="7">
        <f>IFERROR(_xlfn.PERCENTRANK.INC('Master Data'!$I$5:$I$204,'Master Data'!$I156),0)</f>
        <v>0.161</v>
      </c>
      <c r="J156" s="7">
        <f>IFERROR(1-_xlfn.PERCENTRANK.INC('Master Data'!$J$5:$J$204,'Master Data'!$J156),0)</f>
        <v>0.307</v>
      </c>
      <c r="K156" s="7">
        <f>IFERROR(1-_xlfn.PERCENTRANK.INC('Master Data'!$K$5:$K$204,'Master Data'!$K156),0)</f>
        <v>0.216</v>
      </c>
      <c r="L156" s="7">
        <f>IFERROR(_xlfn.PERCENTRANK.INC('Master Data'!$L$5:$L$204,'Master Data'!$L156),0)</f>
        <v>0.226</v>
      </c>
      <c r="M156" s="7">
        <f>IFERROR(1-_xlfn.PERCENTRANK.INC('Master Data'!$M$5:$M$204,'Master Data'!$M156),0)</f>
        <v>0.126</v>
      </c>
      <c r="N156" s="7">
        <f>IFERROR(1-_xlfn.PERCENTRANK.INC('Master Data'!$N$5:$N$204,'Master Data'!$N156),0)</f>
        <v>0.93</v>
      </c>
      <c r="O156" s="7">
        <f>IFERROR(1-_xlfn.PERCENTRANK.INC('Master Data'!$O$5:$O$204,'Master Data'!$O156),0)</f>
        <v>0.613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6" t="s">
        <v>184</v>
      </c>
      <c r="C157" s="7">
        <f>IFERROR(_xlfn.PERCENTRANK.INC('Master Data'!$C$5:$C$204,'Master Data'!$C157),0)</f>
        <v>0.548</v>
      </c>
      <c r="D157" s="7">
        <f>IFERROR(_xlfn.PERCENTRANK.INC('Master Data'!$D$5:$D$204,'Master Data'!$D157),0)</f>
        <v>0.759</v>
      </c>
      <c r="E157" s="7">
        <f>IFERROR(_xlfn.PERCENTRANK.INC('Master Data'!$E$5:$E$204,'Master Data'!$E157),0)</f>
        <v>0.04</v>
      </c>
      <c r="F157" s="7">
        <f>IFERROR(_xlfn.PERCENTRANK.INC('Master Data'!$F$5:$F$204,'Master Data'!$F157),0)</f>
        <v>0.06</v>
      </c>
      <c r="G157" s="7">
        <f>IFERROR(_xlfn.PERCENTRANK.INC('Master Data'!$G$5:$G$204,'Master Data'!$G157),0)</f>
        <v>0.04</v>
      </c>
      <c r="H157" s="7">
        <f>IFERROR(_xlfn.PERCENTRANK.INC('Master Data'!$H$5:$H$204,'Master Data'!$H157),0)</f>
        <v>0.055</v>
      </c>
      <c r="I157" s="7">
        <f>IFERROR(_xlfn.PERCENTRANK.INC('Master Data'!$I$5:$I$204,'Master Data'!$I157),0)</f>
        <v>0.025</v>
      </c>
      <c r="J157" s="7">
        <f>IFERROR(1-_xlfn.PERCENTRANK.INC('Master Data'!$J$5:$J$204,'Master Data'!$J157),0)</f>
        <v>0.02</v>
      </c>
      <c r="K157" s="7">
        <f>IFERROR(1-_xlfn.PERCENTRANK.INC('Master Data'!$K$5:$K$204,'Master Data'!$K157),0)</f>
        <v>0.01</v>
      </c>
      <c r="L157" s="7">
        <f>IFERROR(_xlfn.PERCENTRANK.INC('Master Data'!$L$5:$L$204,'Master Data'!$L157),0)</f>
        <v>0.045</v>
      </c>
      <c r="M157" s="7">
        <f>IFERROR(1-_xlfn.PERCENTRANK.INC('Master Data'!$M$5:$M$204,'Master Data'!$M157),0)</f>
        <v>0.698</v>
      </c>
      <c r="N157" s="7">
        <f>IFERROR(1-_xlfn.PERCENTRANK.INC('Master Data'!$N$5:$N$204,'Master Data'!$N157),0)</f>
        <v>0.698</v>
      </c>
      <c r="O157" s="7">
        <f>IFERROR(1-_xlfn.PERCENTRANK.INC('Master Data'!$O$5:$O$204,'Master Data'!$O157),0)</f>
        <v>0.955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6" t="s">
        <v>92</v>
      </c>
      <c r="C158" s="7">
        <f>IFERROR(_xlfn.PERCENTRANK.INC('Master Data'!$C$5:$C$204,'Master Data'!$C158),0)</f>
        <v>0.849</v>
      </c>
      <c r="D158" s="7">
        <f>IFERROR(_xlfn.PERCENTRANK.INC('Master Data'!$D$5:$D$204,'Master Data'!$D158),0)</f>
        <v>0.819</v>
      </c>
      <c r="E158" s="7">
        <f>IFERROR(_xlfn.PERCENTRANK.INC('Master Data'!$E$5:$E$204,'Master Data'!$E158),0)</f>
        <v>0.683</v>
      </c>
      <c r="F158" s="7">
        <f>IFERROR(_xlfn.PERCENTRANK.INC('Master Data'!$F$5:$F$204,'Master Data'!$F158),0)</f>
        <v>0.492</v>
      </c>
      <c r="G158" s="7">
        <f>IFERROR(_xlfn.PERCENTRANK.INC('Master Data'!$G$5:$G$204,'Master Data'!$G158),0)</f>
        <v>0.638</v>
      </c>
      <c r="H158" s="7">
        <f>IFERROR(_xlfn.PERCENTRANK.INC('Master Data'!$H$5:$H$204,'Master Data'!$H158),0)</f>
        <v>0.503</v>
      </c>
      <c r="I158" s="7">
        <f>IFERROR(_xlfn.PERCENTRANK.INC('Master Data'!$I$5:$I$204,'Master Data'!$I158),0)</f>
        <v>0.704</v>
      </c>
      <c r="J158" s="7">
        <f>IFERROR(1-_xlfn.PERCENTRANK.INC('Master Data'!$J$5:$J$204,'Master Data'!$J158),0)</f>
        <v>0.261</v>
      </c>
      <c r="K158" s="7">
        <f>IFERROR(1-_xlfn.PERCENTRANK.INC('Master Data'!$K$5:$K$204,'Master Data'!$K158),0)</f>
        <v>0.221</v>
      </c>
      <c r="L158" s="7">
        <f>IFERROR(_xlfn.PERCENTRANK.INC('Master Data'!$L$5:$L$204,'Master Data'!$L158),0)</f>
        <v>0.467</v>
      </c>
      <c r="M158" s="7">
        <f>IFERROR(1-_xlfn.PERCENTRANK.INC('Master Data'!$M$5:$M$204,'Master Data'!$M158),0)</f>
        <v>0.156</v>
      </c>
      <c r="N158" s="7">
        <f>IFERROR(1-_xlfn.PERCENTRANK.INC('Master Data'!$N$5:$N$204,'Master Data'!$N158),0)</f>
        <v>0.869</v>
      </c>
      <c r="O158" s="7">
        <f>IFERROR(1-_xlfn.PERCENTRANK.INC('Master Data'!$O$5:$O$204,'Master Data'!$O158),0)</f>
        <v>0.337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6" t="s">
        <v>142</v>
      </c>
      <c r="C159" s="7">
        <f>IFERROR(_xlfn.PERCENTRANK.INC('Master Data'!$C$5:$C$204,'Master Data'!$C159),0)</f>
        <v>0.472</v>
      </c>
      <c r="D159" s="7">
        <f>IFERROR(_xlfn.PERCENTRANK.INC('Master Data'!$D$5:$D$204,'Master Data'!$D159),0)</f>
        <v>0.457</v>
      </c>
      <c r="E159" s="7">
        <f>IFERROR(_xlfn.PERCENTRANK.INC('Master Data'!$E$5:$E$204,'Master Data'!$E159),0)</f>
        <v>0.533</v>
      </c>
      <c r="F159" s="7">
        <f>IFERROR(_xlfn.PERCENTRANK.INC('Master Data'!$F$5:$F$204,'Master Data'!$F159),0)</f>
        <v>0.317</v>
      </c>
      <c r="G159" s="7">
        <f>IFERROR(_xlfn.PERCENTRANK.INC('Master Data'!$G$5:$G$204,'Master Data'!$G159),0)</f>
        <v>0.719</v>
      </c>
      <c r="H159" s="7">
        <f>IFERROR(_xlfn.PERCENTRANK.INC('Master Data'!$H$5:$H$204,'Master Data'!$H159),0)</f>
        <v>0.241</v>
      </c>
      <c r="I159" s="7">
        <f>IFERROR(_xlfn.PERCENTRANK.INC('Master Data'!$I$5:$I$204,'Master Data'!$I159),0)</f>
        <v>0.116</v>
      </c>
      <c r="J159" s="7">
        <f>IFERROR(1-_xlfn.PERCENTRANK.INC('Master Data'!$J$5:$J$204,'Master Data'!$J159),0)</f>
        <v>0.095</v>
      </c>
      <c r="K159" s="7">
        <f>IFERROR(1-_xlfn.PERCENTRANK.INC('Master Data'!$K$5:$K$204,'Master Data'!$K159),0)</f>
        <v>0.146</v>
      </c>
      <c r="L159" s="7">
        <f>IFERROR(_xlfn.PERCENTRANK.INC('Master Data'!$L$5:$L$204,'Master Data'!$L159),0)</f>
        <v>0.161</v>
      </c>
      <c r="M159" s="7">
        <f>IFERROR(1-_xlfn.PERCENTRANK.INC('Master Data'!$M$5:$M$204,'Master Data'!$M159),0)</f>
        <v>0.884</v>
      </c>
      <c r="N159" s="7">
        <f>IFERROR(1-_xlfn.PERCENTRANK.INC('Master Data'!$N$5:$N$204,'Master Data'!$N159),0)</f>
        <v>0.538</v>
      </c>
      <c r="O159" s="7">
        <f>IFERROR(1-_xlfn.PERCENTRANK.INC('Master Data'!$O$5:$O$204,'Master Data'!$O159),0)</f>
        <v>0.915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6" t="s">
        <v>147</v>
      </c>
      <c r="C160" s="7">
        <f>IFERROR(_xlfn.PERCENTRANK.INC('Master Data'!$C$5:$C$204,'Master Data'!$C160),0)</f>
        <v>0.427</v>
      </c>
      <c r="D160" s="7">
        <f>IFERROR(_xlfn.PERCENTRANK.INC('Master Data'!$D$5:$D$204,'Master Data'!$D160),0)</f>
        <v>0.281</v>
      </c>
      <c r="E160" s="7">
        <f>IFERROR(_xlfn.PERCENTRANK.INC('Master Data'!$E$5:$E$204,'Master Data'!$E160),0)</f>
        <v>0.312</v>
      </c>
      <c r="F160" s="7">
        <f>IFERROR(_xlfn.PERCENTRANK.INC('Master Data'!$F$5:$F$204,'Master Data'!$F160),0)</f>
        <v>0.322</v>
      </c>
      <c r="G160" s="7">
        <f>IFERROR(_xlfn.PERCENTRANK.INC('Master Data'!$G$5:$G$204,'Master Data'!$G160),0)</f>
        <v>0.266</v>
      </c>
      <c r="H160" s="7">
        <f>IFERROR(_xlfn.PERCENTRANK.INC('Master Data'!$H$5:$H$204,'Master Data'!$H160),0)</f>
        <v>0.392</v>
      </c>
      <c r="I160" s="7">
        <f>IFERROR(_xlfn.PERCENTRANK.INC('Master Data'!$I$5:$I$204,'Master Data'!$I160),0)</f>
        <v>0.387</v>
      </c>
      <c r="J160" s="7">
        <f>IFERROR(1-_xlfn.PERCENTRANK.INC('Master Data'!$J$5:$J$204,'Master Data'!$J160),0)</f>
        <v>0.377</v>
      </c>
      <c r="K160" s="7">
        <f>IFERROR(1-_xlfn.PERCENTRANK.INC('Master Data'!$K$5:$K$204,'Master Data'!$K160),0)</f>
        <v>0.286</v>
      </c>
      <c r="L160" s="7">
        <f>IFERROR(_xlfn.PERCENTRANK.INC('Master Data'!$L$5:$L$204,'Master Data'!$L160),0)</f>
        <v>0.412</v>
      </c>
      <c r="M160" s="7">
        <f>IFERROR(1-_xlfn.PERCENTRANK.INC('Master Data'!$M$5:$M$204,'Master Data'!$M160),0)</f>
        <v>0.432</v>
      </c>
      <c r="N160" s="7">
        <f>IFERROR(1-_xlfn.PERCENTRANK.INC('Master Data'!$N$5:$N$204,'Master Data'!$N160),0)</f>
        <v>0.864</v>
      </c>
      <c r="O160" s="7">
        <f>IFERROR(1-_xlfn.PERCENTRANK.INC('Master Data'!$O$5:$O$204,'Master Data'!$O160),0)</f>
        <v>0.739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6" t="s">
        <v>146</v>
      </c>
      <c r="C161" s="7">
        <f>IFERROR(_xlfn.PERCENTRANK.INC('Master Data'!$C$5:$C$204,'Master Data'!$C161),0)</f>
        <v>0.322</v>
      </c>
      <c r="D161" s="7">
        <f>IFERROR(_xlfn.PERCENTRANK.INC('Master Data'!$D$5:$D$204,'Master Data'!$D161),0)</f>
        <v>0.216</v>
      </c>
      <c r="E161" s="7">
        <f>IFERROR(_xlfn.PERCENTRANK.INC('Master Data'!$E$5:$E$204,'Master Data'!$E161),0)</f>
        <v>0.422</v>
      </c>
      <c r="F161" s="7">
        <f>IFERROR(_xlfn.PERCENTRANK.INC('Master Data'!$F$5:$F$204,'Master Data'!$F161),0)</f>
        <v>0.337</v>
      </c>
      <c r="G161" s="7">
        <f>IFERROR(_xlfn.PERCENTRANK.INC('Master Data'!$G$5:$G$204,'Master Data'!$G161),0)</f>
        <v>0.261</v>
      </c>
      <c r="H161" s="7">
        <f>IFERROR(_xlfn.PERCENTRANK.INC('Master Data'!$H$5:$H$204,'Master Data'!$H161),0)</f>
        <v>0.477</v>
      </c>
      <c r="I161" s="7">
        <f>IFERROR(_xlfn.PERCENTRANK.INC('Master Data'!$I$5:$I$204,'Master Data'!$I161),0)</f>
        <v>0.849</v>
      </c>
      <c r="J161" s="7">
        <f>IFERROR(1-_xlfn.PERCENTRANK.INC('Master Data'!$J$5:$J$204,'Master Data'!$J161),0)</f>
        <v>0.492</v>
      </c>
      <c r="K161" s="7">
        <f>IFERROR(1-_xlfn.PERCENTRANK.INC('Master Data'!$K$5:$K$204,'Master Data'!$K161),0)</f>
        <v>0.266</v>
      </c>
      <c r="L161" s="7">
        <f>IFERROR(_xlfn.PERCENTRANK.INC('Master Data'!$L$5:$L$204,'Master Data'!$L161),0)</f>
        <v>0.648</v>
      </c>
      <c r="M161" s="7">
        <f>IFERROR(1-_xlfn.PERCENTRANK.INC('Master Data'!$M$5:$M$204,'Master Data'!$M161),0)</f>
        <v>0.131</v>
      </c>
      <c r="N161" s="7">
        <f>IFERROR(1-_xlfn.PERCENTRANK.INC('Master Data'!$N$5:$N$204,'Master Data'!$N161),0)</f>
        <v>0.452</v>
      </c>
      <c r="O161" s="7">
        <f>IFERROR(1-_xlfn.PERCENTRANK.INC('Master Data'!$O$5:$O$204,'Master Data'!$O161),0)</f>
        <v>0.784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6" t="s">
        <v>89</v>
      </c>
      <c r="C162" s="7">
        <f>IFERROR(_xlfn.PERCENTRANK.INC('Master Data'!$C$5:$C$204,'Master Data'!$C162),0)</f>
        <v>0.935</v>
      </c>
      <c r="D162" s="7">
        <f>IFERROR(_xlfn.PERCENTRANK.INC('Master Data'!$D$5:$D$204,'Master Data'!$D162),0)</f>
        <v>0.899</v>
      </c>
      <c r="E162" s="7">
        <f>IFERROR(_xlfn.PERCENTRANK.INC('Master Data'!$E$5:$E$204,'Master Data'!$E162),0)</f>
        <v>0.809</v>
      </c>
      <c r="F162" s="7">
        <f>IFERROR(_xlfn.PERCENTRANK.INC('Master Data'!$F$5:$F$204,'Master Data'!$F162),0)</f>
        <v>0.382</v>
      </c>
      <c r="G162" s="7">
        <f>IFERROR(_xlfn.PERCENTRANK.INC('Master Data'!$G$5:$G$204,'Master Data'!$G162),0)</f>
        <v>0.814</v>
      </c>
      <c r="H162" s="7">
        <f>IFERROR(_xlfn.PERCENTRANK.INC('Master Data'!$H$5:$H$204,'Master Data'!$H162),0)</f>
        <v>0.377</v>
      </c>
      <c r="I162" s="7">
        <f>IFERROR(_xlfn.PERCENTRANK.INC('Master Data'!$I$5:$I$204,'Master Data'!$I162),0)</f>
        <v>0.286</v>
      </c>
      <c r="J162" s="7">
        <f>IFERROR(1-_xlfn.PERCENTRANK.INC('Master Data'!$J$5:$J$204,'Master Data'!$J162),0)</f>
        <v>0.136</v>
      </c>
      <c r="K162" s="7">
        <f>IFERROR(1-_xlfn.PERCENTRANK.INC('Master Data'!$K$5:$K$204,'Master Data'!$K162),0)</f>
        <v>0.196</v>
      </c>
      <c r="L162" s="7">
        <f>IFERROR(_xlfn.PERCENTRANK.INC('Master Data'!$L$5:$L$204,'Master Data'!$L162),0)</f>
        <v>0.246</v>
      </c>
      <c r="M162" s="7">
        <f>IFERROR(1-_xlfn.PERCENTRANK.INC('Master Data'!$M$5:$M$204,'Master Data'!$M162),0)</f>
        <v>0.568</v>
      </c>
      <c r="N162" s="7">
        <f>IFERROR(1-_xlfn.PERCENTRANK.INC('Master Data'!$N$5:$N$204,'Master Data'!$N162),0)</f>
        <v>0.844</v>
      </c>
      <c r="O162" s="7">
        <f>IFERROR(1-_xlfn.PERCENTRANK.INC('Master Data'!$O$5:$O$204,'Master Data'!$O162),0)</f>
        <v>0.467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6" t="s">
        <v>73</v>
      </c>
      <c r="C163" s="7">
        <f>IFERROR(_xlfn.PERCENTRANK.INC('Master Data'!$C$5:$C$204,'Master Data'!$C163),0)</f>
        <v>0.91</v>
      </c>
      <c r="D163" s="7">
        <f>IFERROR(_xlfn.PERCENTRANK.INC('Master Data'!$D$5:$D$204,'Master Data'!$D163),0)</f>
        <v>0.578</v>
      </c>
      <c r="E163" s="7">
        <f>IFERROR(_xlfn.PERCENTRANK.INC('Master Data'!$E$5:$E$204,'Master Data'!$E163),0)</f>
        <v>0.548</v>
      </c>
      <c r="F163" s="7">
        <f>IFERROR(_xlfn.PERCENTRANK.INC('Master Data'!$F$5:$F$204,'Master Data'!$F163),0)</f>
        <v>0.613</v>
      </c>
      <c r="G163" s="7">
        <f>IFERROR(_xlfn.PERCENTRANK.INC('Master Data'!$G$5:$G$204,'Master Data'!$G163),0)</f>
        <v>0.583</v>
      </c>
      <c r="H163" s="7">
        <f>IFERROR(_xlfn.PERCENTRANK.INC('Master Data'!$H$5:$H$204,'Master Data'!$H163),0)</f>
        <v>0.116</v>
      </c>
      <c r="I163" s="7">
        <f>IFERROR(_xlfn.PERCENTRANK.INC('Master Data'!$I$5:$I$204,'Master Data'!$I163),0)</f>
        <v>0.266</v>
      </c>
      <c r="J163" s="7">
        <f>IFERROR(1-_xlfn.PERCENTRANK.INC('Master Data'!$J$5:$J$204,'Master Data'!$J163),0)</f>
        <v>0.99</v>
      </c>
      <c r="K163" s="7">
        <f>IFERROR(1-_xlfn.PERCENTRANK.INC('Master Data'!$K$5:$K$204,'Master Data'!$K163),0)</f>
        <v>0.925</v>
      </c>
      <c r="L163" s="7">
        <f>IFERROR(_xlfn.PERCENTRANK.INC('Master Data'!$L$5:$L$204,'Master Data'!$L163),0)</f>
        <v>0.879</v>
      </c>
      <c r="M163" s="7">
        <f>IFERROR(1-_xlfn.PERCENTRANK.INC('Master Data'!$M$5:$M$204,'Master Data'!$M163),0)</f>
        <v>0.226</v>
      </c>
      <c r="N163" s="7">
        <f>IFERROR(1-_xlfn.PERCENTRANK.INC('Master Data'!$N$5:$N$204,'Master Data'!$N163),0)</f>
        <v>0.261</v>
      </c>
      <c r="O163" s="7">
        <f>IFERROR(1-_xlfn.PERCENTRANK.INC('Master Data'!$O$5:$O$204,'Master Data'!$O163),0)</f>
        <v>0.317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6" t="s">
        <v>95</v>
      </c>
      <c r="C164" s="7">
        <f>IFERROR(_xlfn.PERCENTRANK.INC('Master Data'!$C$5:$C$204,'Master Data'!$C164),0)</f>
        <v>0.693</v>
      </c>
      <c r="D164" s="7">
        <f>IFERROR(_xlfn.PERCENTRANK.INC('Master Data'!$D$5:$D$204,'Master Data'!$D164),0)</f>
        <v>0.513</v>
      </c>
      <c r="E164" s="7">
        <f>IFERROR(_xlfn.PERCENTRANK.INC('Master Data'!$E$5:$E$204,'Master Data'!$E164),0)</f>
        <v>0.266</v>
      </c>
      <c r="F164" s="7">
        <f>IFERROR(_xlfn.PERCENTRANK.INC('Master Data'!$F$5:$F$204,'Master Data'!$F164),0)</f>
        <v>0.482</v>
      </c>
      <c r="G164" s="7">
        <f>IFERROR(_xlfn.PERCENTRANK.INC('Master Data'!$G$5:$G$204,'Master Data'!$G164),0)</f>
        <v>0.392</v>
      </c>
      <c r="H164" s="7">
        <f>IFERROR(_xlfn.PERCENTRANK.INC('Master Data'!$H$5:$H$204,'Master Data'!$H164),0)</f>
        <v>0.638</v>
      </c>
      <c r="I164" s="7">
        <f>IFERROR(_xlfn.PERCENTRANK.INC('Master Data'!$I$5:$I$204,'Master Data'!$I164),0)</f>
        <v>0.487</v>
      </c>
      <c r="J164" s="7">
        <f>IFERROR(1-_xlfn.PERCENTRANK.INC('Master Data'!$J$5:$J$204,'Master Data'!$J164),0)</f>
        <v>0.523</v>
      </c>
      <c r="K164" s="7">
        <f>IFERROR(1-_xlfn.PERCENTRANK.INC('Master Data'!$K$5:$K$204,'Master Data'!$K164),0)</f>
        <v>0.538</v>
      </c>
      <c r="L164" s="7">
        <f>IFERROR(_xlfn.PERCENTRANK.INC('Master Data'!$L$5:$L$204,'Master Data'!$L164),0)</f>
        <v>0.492</v>
      </c>
      <c r="M164" s="7">
        <f>IFERROR(1-_xlfn.PERCENTRANK.INC('Master Data'!$M$5:$M$204,'Master Data'!$M164),0)</f>
        <v>0.482</v>
      </c>
      <c r="N164" s="7">
        <f>IFERROR(1-_xlfn.PERCENTRANK.INC('Master Data'!$N$5:$N$204,'Master Data'!$N164),0)</f>
        <v>0.819</v>
      </c>
      <c r="O164" s="7">
        <f>IFERROR(1-_xlfn.PERCENTRANK.INC('Master Data'!$O$5:$O$204,'Master Data'!$O164),0)</f>
        <v>0.548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6" t="s">
        <v>102</v>
      </c>
      <c r="C165" s="7">
        <f>IFERROR(_xlfn.PERCENTRANK.INC('Master Data'!$C$5:$C$204,'Master Data'!$C165),0)</f>
        <v>0.834</v>
      </c>
      <c r="D165" s="7">
        <f>IFERROR(_xlfn.PERCENTRANK.INC('Master Data'!$D$5:$D$204,'Master Data'!$D165),0)</f>
        <v>0.784</v>
      </c>
      <c r="E165" s="7">
        <f>IFERROR(_xlfn.PERCENTRANK.INC('Master Data'!$E$5:$E$204,'Master Data'!$E165),0)</f>
        <v>0.874</v>
      </c>
      <c r="F165" s="7">
        <f>IFERROR(_xlfn.PERCENTRANK.INC('Master Data'!$F$5:$F$204,'Master Data'!$F165),0)</f>
        <v>0.357</v>
      </c>
      <c r="G165" s="7">
        <f>IFERROR(_xlfn.PERCENTRANK.INC('Master Data'!$G$5:$G$204,'Master Data'!$G165),0)</f>
        <v>0.533</v>
      </c>
      <c r="H165" s="7">
        <f>IFERROR(_xlfn.PERCENTRANK.INC('Master Data'!$H$5:$H$204,'Master Data'!$H165),0)</f>
        <v>0.276</v>
      </c>
      <c r="I165" s="7">
        <f>IFERROR(_xlfn.PERCENTRANK.INC('Master Data'!$I$5:$I$204,'Master Data'!$I165),0)</f>
        <v>0.186</v>
      </c>
      <c r="J165" s="7">
        <f>IFERROR(1-_xlfn.PERCENTRANK.INC('Master Data'!$J$5:$J$204,'Master Data'!$J165),0)</f>
        <v>0.121</v>
      </c>
      <c r="K165" s="7">
        <f>IFERROR(1-_xlfn.PERCENTRANK.INC('Master Data'!$K$5:$K$204,'Master Data'!$K165),0)</f>
        <v>0.186</v>
      </c>
      <c r="L165" s="7">
        <f>IFERROR(_xlfn.PERCENTRANK.INC('Master Data'!$L$5:$L$204,'Master Data'!$L165),0)</f>
        <v>0.151</v>
      </c>
      <c r="M165" s="7">
        <f>IFERROR(1-_xlfn.PERCENTRANK.INC('Master Data'!$M$5:$M$204,'Master Data'!$M165),0)</f>
        <v>0.899</v>
      </c>
      <c r="N165" s="7">
        <f>IFERROR(1-_xlfn.PERCENTRANK.INC('Master Data'!$N$5:$N$204,'Master Data'!$N165),0)</f>
        <v>0.613</v>
      </c>
      <c r="O165" s="7">
        <f>IFERROR(1-_xlfn.PERCENTRANK.INC('Master Data'!$O$5:$O$204,'Master Data'!$O165),0)</f>
        <v>0.804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6" t="s">
        <v>94</v>
      </c>
      <c r="C166" s="7">
        <f>IFERROR(_xlfn.PERCENTRANK.INC('Master Data'!$C$5:$C$204,'Master Data'!$C166),0)</f>
        <v>0.03</v>
      </c>
      <c r="D166" s="7">
        <f>IFERROR(_xlfn.PERCENTRANK.INC('Master Data'!$D$5:$D$204,'Master Data'!$D166),0)</f>
        <v>0.05</v>
      </c>
      <c r="E166" s="7">
        <f>IFERROR(_xlfn.PERCENTRANK.INC('Master Data'!$E$5:$E$204,'Master Data'!$E166),0)</f>
        <v>0.04</v>
      </c>
      <c r="F166" s="7">
        <f>IFERROR(_xlfn.PERCENTRANK.INC('Master Data'!$F$5:$F$204,'Master Data'!$F166),0)</f>
        <v>0.683</v>
      </c>
      <c r="G166" s="7">
        <f>IFERROR(_xlfn.PERCENTRANK.INC('Master Data'!$G$5:$G$204,'Master Data'!$G166),0)</f>
        <v>0.568</v>
      </c>
      <c r="H166" s="7">
        <f>IFERROR(_xlfn.PERCENTRANK.INC('Master Data'!$H$5:$H$204,'Master Data'!$H166),0)</f>
        <v>0.558</v>
      </c>
      <c r="I166" s="7">
        <f>IFERROR(_xlfn.PERCENTRANK.INC('Master Data'!$I$5:$I$204,'Master Data'!$I166),0)</f>
        <v>0</v>
      </c>
      <c r="J166" s="7">
        <f>IFERROR(1-_xlfn.PERCENTRANK.INC('Master Data'!$J$5:$J$204,'Master Data'!$J166),0)</f>
        <v>0.804</v>
      </c>
      <c r="K166" s="7">
        <f>IFERROR(1-_xlfn.PERCENTRANK.INC('Master Data'!$K$5:$K$204,'Master Data'!$K166),0)</f>
        <v>0.719</v>
      </c>
      <c r="L166" s="7">
        <f>IFERROR(_xlfn.PERCENTRANK.INC('Master Data'!$L$5:$L$204,'Master Data'!$L166),0)</f>
        <v>0.678</v>
      </c>
      <c r="M166" s="7">
        <f>IFERROR(1-_xlfn.PERCENTRANK.INC('Master Data'!$M$5:$M$204,'Master Data'!$M166),0)</f>
        <v>0.97</v>
      </c>
      <c r="N166" s="7">
        <f>IFERROR(1-_xlfn.PERCENTRANK.INC('Master Data'!$N$5:$N$204,'Master Data'!$N166),0)</f>
        <v>0.739</v>
      </c>
      <c r="O166" s="7">
        <f>IFERROR(1-_xlfn.PERCENTRANK.INC('Master Data'!$O$5:$O$204,'Master Data'!$O166),0)</f>
        <v>0.995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6" t="s">
        <v>85</v>
      </c>
      <c r="C167" s="7">
        <f>IFERROR(_xlfn.PERCENTRANK.INC('Master Data'!$C$5:$C$204,'Master Data'!$C167),0)</f>
        <v>0.332</v>
      </c>
      <c r="D167" s="7">
        <f>IFERROR(_xlfn.PERCENTRANK.INC('Master Data'!$D$5:$D$204,'Master Data'!$D167),0)</f>
        <v>0.538</v>
      </c>
      <c r="E167" s="7">
        <f>IFERROR(_xlfn.PERCENTRANK.INC('Master Data'!$E$5:$E$204,'Master Data'!$E167),0)</f>
        <v>0.452</v>
      </c>
      <c r="F167" s="7">
        <f>IFERROR(_xlfn.PERCENTRANK.INC('Master Data'!$F$5:$F$204,'Master Data'!$F167),0)</f>
        <v>0.749</v>
      </c>
      <c r="G167" s="7">
        <f>IFERROR(_xlfn.PERCENTRANK.INC('Master Data'!$G$5:$G$204,'Master Data'!$G167),0)</f>
        <v>0.613</v>
      </c>
      <c r="H167" s="7">
        <f>IFERROR(_xlfn.PERCENTRANK.INC('Master Data'!$H$5:$H$204,'Master Data'!$H167),0)</f>
        <v>0.688</v>
      </c>
      <c r="I167" s="7">
        <f>IFERROR(_xlfn.PERCENTRANK.INC('Master Data'!$I$5:$I$204,'Master Data'!$I167),0)</f>
        <v>0.678</v>
      </c>
      <c r="J167" s="7">
        <f>IFERROR(1-_xlfn.PERCENTRANK.INC('Master Data'!$J$5:$J$204,'Master Data'!$J167),0)</f>
        <v>0.849</v>
      </c>
      <c r="K167" s="7">
        <f>IFERROR(1-_xlfn.PERCENTRANK.INC('Master Data'!$K$5:$K$204,'Master Data'!$K167),0)</f>
        <v>0.769</v>
      </c>
      <c r="L167" s="7">
        <f>IFERROR(_xlfn.PERCENTRANK.INC('Master Data'!$L$5:$L$204,'Master Data'!$L167),0)</f>
        <v>0.698</v>
      </c>
      <c r="M167" s="7">
        <f>IFERROR(1-_xlfn.PERCENTRANK.INC('Master Data'!$M$5:$M$204,'Master Data'!$M167),0)</f>
        <v>0.276</v>
      </c>
      <c r="N167" s="7">
        <f>IFERROR(1-_xlfn.PERCENTRANK.INC('Master Data'!$N$5:$N$204,'Master Data'!$N167),0)</f>
        <v>0.362</v>
      </c>
      <c r="O167" s="7">
        <f>IFERROR(1-_xlfn.PERCENTRANK.INC('Master Data'!$O$5:$O$204,'Master Data'!$O167),0)</f>
        <v>0.291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6" t="s">
        <v>65</v>
      </c>
      <c r="C168" s="7">
        <f>IFERROR(_xlfn.PERCENTRANK.INC('Master Data'!$C$5:$C$204,'Master Data'!$C168),0)</f>
        <v>0.854</v>
      </c>
      <c r="D168" s="7">
        <f>IFERROR(_xlfn.PERCENTRANK.INC('Master Data'!$D$5:$D$204,'Master Data'!$D168),0)</f>
        <v>0.874</v>
      </c>
      <c r="E168" s="7">
        <f>IFERROR(_xlfn.PERCENTRANK.INC('Master Data'!$E$5:$E$204,'Master Data'!$E168),0)</f>
        <v>0.834</v>
      </c>
      <c r="F168" s="7">
        <f>IFERROR(_xlfn.PERCENTRANK.INC('Master Data'!$F$5:$F$204,'Master Data'!$F168),0)</f>
        <v>0.824</v>
      </c>
      <c r="G168" s="7">
        <f>IFERROR(_xlfn.PERCENTRANK.INC('Master Data'!$G$5:$G$204,'Master Data'!$G168),0)</f>
        <v>0.819</v>
      </c>
      <c r="H168" s="7">
        <f>IFERROR(_xlfn.PERCENTRANK.INC('Master Data'!$H$5:$H$204,'Master Data'!$H168),0)</f>
        <v>0.844</v>
      </c>
      <c r="I168" s="7">
        <f>IFERROR(_xlfn.PERCENTRANK.INC('Master Data'!$I$5:$I$204,'Master Data'!$I168),0)</f>
        <v>0.769</v>
      </c>
      <c r="J168" s="7">
        <f>IFERROR(1-_xlfn.PERCENTRANK.INC('Master Data'!$J$5:$J$204,'Master Data'!$J168),0)</f>
        <v>0.538</v>
      </c>
      <c r="K168" s="7">
        <f>IFERROR(1-_xlfn.PERCENTRANK.INC('Master Data'!$K$5:$K$204,'Master Data'!$K168),0)</f>
        <v>0.573</v>
      </c>
      <c r="L168" s="7">
        <f>IFERROR(_xlfn.PERCENTRANK.INC('Master Data'!$L$5:$L$204,'Master Data'!$L168),0)</f>
        <v>0.628</v>
      </c>
      <c r="M168" s="7">
        <f>IFERROR(1-_xlfn.PERCENTRANK.INC('Master Data'!$M$5:$M$204,'Master Data'!$M168),0)</f>
        <v>0.101</v>
      </c>
      <c r="N168" s="7">
        <f>IFERROR(1-_xlfn.PERCENTRANK.INC('Master Data'!$N$5:$N$204,'Master Data'!$N168),0)</f>
        <v>0.151</v>
      </c>
      <c r="O168" s="7">
        <f>IFERROR(1-_xlfn.PERCENTRANK.INC('Master Data'!$O$5:$O$204,'Master Data'!$O168),0)</f>
        <v>0.025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6" t="s">
        <v>83</v>
      </c>
      <c r="C169" s="7">
        <f>IFERROR(_xlfn.PERCENTRANK.INC('Master Data'!$C$5:$C$204,'Master Data'!$C169),0)</f>
        <v>0.955</v>
      </c>
      <c r="D169" s="7">
        <f>IFERROR(_xlfn.PERCENTRANK.INC('Master Data'!$D$5:$D$204,'Master Data'!$D169),0)</f>
        <v>0.965</v>
      </c>
      <c r="E169" s="7">
        <f>IFERROR(_xlfn.PERCENTRANK.INC('Master Data'!$E$5:$E$204,'Master Data'!$E169),0)</f>
        <v>0.04</v>
      </c>
      <c r="F169" s="7">
        <f>IFERROR(_xlfn.PERCENTRANK.INC('Master Data'!$F$5:$F$204,'Master Data'!$F169),0)</f>
        <v>0.714</v>
      </c>
      <c r="G169" s="7">
        <f>IFERROR(_xlfn.PERCENTRANK.INC('Master Data'!$G$5:$G$204,'Master Data'!$G169),0)</f>
        <v>0.688</v>
      </c>
      <c r="H169" s="7">
        <f>IFERROR(_xlfn.PERCENTRANK.INC('Master Data'!$H$5:$H$204,'Master Data'!$H169),0)</f>
        <v>0.784</v>
      </c>
      <c r="I169" s="7">
        <f>IFERROR(_xlfn.PERCENTRANK.INC('Master Data'!$I$5:$I$204,'Master Data'!$I169),0)</f>
        <v>0.487</v>
      </c>
      <c r="J169" s="7">
        <f>IFERROR(1-_xlfn.PERCENTRANK.INC('Master Data'!$J$5:$J$204,'Master Data'!$J169),0)</f>
        <v>0.477</v>
      </c>
      <c r="K169" s="7">
        <f>IFERROR(1-_xlfn.PERCENTRANK.INC('Master Data'!$K$5:$K$204,'Master Data'!$K169),0)</f>
        <v>0.518</v>
      </c>
      <c r="L169" s="7">
        <f>IFERROR(_xlfn.PERCENTRANK.INC('Master Data'!$L$5:$L$204,'Master Data'!$L169),0)</f>
        <v>0.553</v>
      </c>
      <c r="M169" s="7">
        <f>IFERROR(1-_xlfn.PERCENTRANK.INC('Master Data'!$M$5:$M$204,'Master Data'!$M169),0)</f>
        <v>0.457</v>
      </c>
      <c r="N169" s="7">
        <f>IFERROR(1-_xlfn.PERCENTRANK.INC('Master Data'!$N$5:$N$204,'Master Data'!$N169),0)</f>
        <v>0.136</v>
      </c>
      <c r="O169" s="7">
        <f>IFERROR(1-_xlfn.PERCENTRANK.INC('Master Data'!$O$5:$O$204,'Master Data'!$O169),0)</f>
        <v>0.533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6" t="s">
        <v>87</v>
      </c>
      <c r="C170" s="7">
        <f>IFERROR(_xlfn.PERCENTRANK.INC('Master Data'!$C$5:$C$204,'Master Data'!$C170),0)</f>
        <v>0.673</v>
      </c>
      <c r="D170" s="7">
        <f>IFERROR(_xlfn.PERCENTRANK.INC('Master Data'!$D$5:$D$204,'Master Data'!$D170),0)</f>
        <v>0.583</v>
      </c>
      <c r="E170" s="7">
        <f>IFERROR(_xlfn.PERCENTRANK.INC('Master Data'!$E$5:$E$204,'Master Data'!$E170),0)</f>
        <v>0.613</v>
      </c>
      <c r="F170" s="7">
        <f>IFERROR(_xlfn.PERCENTRANK.INC('Master Data'!$F$5:$F$204,'Master Data'!$F170),0)</f>
        <v>0.543</v>
      </c>
      <c r="G170" s="7">
        <f>IFERROR(_xlfn.PERCENTRANK.INC('Master Data'!$G$5:$G$204,'Master Data'!$G170),0)</f>
        <v>0.598</v>
      </c>
      <c r="H170" s="7">
        <f>IFERROR(_xlfn.PERCENTRANK.INC('Master Data'!$H$5:$H$204,'Master Data'!$H170),0)</f>
        <v>0.648</v>
      </c>
      <c r="I170" s="7">
        <f>IFERROR(_xlfn.PERCENTRANK.INC('Master Data'!$I$5:$I$204,'Master Data'!$I170),0)</f>
        <v>0.513</v>
      </c>
      <c r="J170" s="7">
        <f>IFERROR(1-_xlfn.PERCENTRANK.INC('Master Data'!$J$5:$J$204,'Master Data'!$J170),0)</f>
        <v>0.372</v>
      </c>
      <c r="K170" s="7">
        <f>IFERROR(1-_xlfn.PERCENTRANK.INC('Master Data'!$K$5:$K$204,'Master Data'!$K170),0)</f>
        <v>0.417</v>
      </c>
      <c r="L170" s="7">
        <f>IFERROR(_xlfn.PERCENTRANK.INC('Master Data'!$L$5:$L$204,'Master Data'!$L170),0)</f>
        <v>0.487</v>
      </c>
      <c r="M170" s="7">
        <f>IFERROR(1-_xlfn.PERCENTRANK.INC('Master Data'!$M$5:$M$204,'Master Data'!$M170),0)</f>
        <v>0.382</v>
      </c>
      <c r="N170" s="7">
        <f>IFERROR(1-_xlfn.PERCENTRANK.INC('Master Data'!$N$5:$N$204,'Master Data'!$N170),0)</f>
        <v>0.92</v>
      </c>
      <c r="O170" s="7">
        <f>IFERROR(1-_xlfn.PERCENTRANK.INC('Master Data'!$O$5:$O$204,'Master Data'!$O170),0)</f>
        <v>0.382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6" t="s">
        <v>168</v>
      </c>
      <c r="C171" s="7">
        <f>IFERROR(_xlfn.PERCENTRANK.INC('Master Data'!$C$5:$C$204,'Master Data'!$C171),0)</f>
        <v>0.613</v>
      </c>
      <c r="D171" s="7">
        <f>IFERROR(_xlfn.PERCENTRANK.INC('Master Data'!$D$5:$D$204,'Master Data'!$D171),0)</f>
        <v>0.668</v>
      </c>
      <c r="E171" s="7">
        <f>IFERROR(_xlfn.PERCENTRANK.INC('Master Data'!$E$5:$E$204,'Master Data'!$E171),0)</f>
        <v>0.829</v>
      </c>
      <c r="F171" s="7">
        <f>IFERROR(_xlfn.PERCENTRANK.INC('Master Data'!$F$5:$F$204,'Master Data'!$F171),0)</f>
        <v>0.106</v>
      </c>
      <c r="G171" s="7">
        <f>IFERROR(_xlfn.PERCENTRANK.INC('Master Data'!$G$5:$G$204,'Master Data'!$G171),0)</f>
        <v>0.251</v>
      </c>
      <c r="H171" s="7">
        <f>IFERROR(_xlfn.PERCENTRANK.INC('Master Data'!$H$5:$H$204,'Master Data'!$H171),0)</f>
        <v>0.095</v>
      </c>
      <c r="I171" s="7">
        <f>IFERROR(_xlfn.PERCENTRANK.INC('Master Data'!$I$5:$I$204,'Master Data'!$I171),0)</f>
        <v>0.025</v>
      </c>
      <c r="J171" s="7">
        <f>IFERROR(1-_xlfn.PERCENTRANK.INC('Master Data'!$J$5:$J$204,'Master Data'!$J171),0)</f>
        <v>0.015</v>
      </c>
      <c r="K171" s="7">
        <f>IFERROR(1-_xlfn.PERCENTRANK.INC('Master Data'!$K$5:$K$204,'Master Data'!$K171),0)</f>
        <v>0.04</v>
      </c>
      <c r="L171" s="7">
        <f>IFERROR(_xlfn.PERCENTRANK.INC('Master Data'!$L$5:$L$204,'Master Data'!$L171),0)</f>
        <v>0.085</v>
      </c>
      <c r="M171" s="7">
        <f>IFERROR(1-_xlfn.PERCENTRANK.INC('Master Data'!$M$5:$M$204,'Master Data'!$M171),0)</f>
        <v>0.683</v>
      </c>
      <c r="N171" s="7">
        <f>IFERROR(1-_xlfn.PERCENTRANK.INC('Master Data'!$N$5:$N$204,'Master Data'!$N171),0)</f>
        <v>0.528</v>
      </c>
      <c r="O171" s="7">
        <f>IFERROR(1-_xlfn.PERCENTRANK.INC('Master Data'!$O$5:$O$204,'Master Data'!$O171),0)</f>
        <v>0.884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6" t="s">
        <v>163</v>
      </c>
      <c r="C172" s="7">
        <f>IFERROR(_xlfn.PERCENTRANK.INC('Master Data'!$C$5:$C$204,'Master Data'!$C172),0)</f>
        <v>0.563</v>
      </c>
      <c r="D172" s="7">
        <f>IFERROR(_xlfn.PERCENTRANK.INC('Master Data'!$D$5:$D$204,'Master Data'!$D172),0)</f>
        <v>0.05</v>
      </c>
      <c r="E172" s="7">
        <f>IFERROR(_xlfn.PERCENTRANK.INC('Master Data'!$E$5:$E$204,'Master Data'!$E172),0)</f>
        <v>0.04</v>
      </c>
      <c r="F172" s="7">
        <f>IFERROR(_xlfn.PERCENTRANK.INC('Master Data'!$F$5:$F$204,'Master Data'!$F172),0)</f>
        <v>0.246</v>
      </c>
      <c r="G172" s="7">
        <f>IFERROR(_xlfn.PERCENTRANK.INC('Master Data'!$G$5:$G$204,'Master Data'!$G172),0)</f>
        <v>0.161</v>
      </c>
      <c r="H172" s="7">
        <f>IFERROR(_xlfn.PERCENTRANK.INC('Master Data'!$H$5:$H$204,'Master Data'!$H172),0)</f>
        <v>0.216</v>
      </c>
      <c r="I172" s="7">
        <f>IFERROR(_xlfn.PERCENTRANK.INC('Master Data'!$I$5:$I$204,'Master Data'!$I172),0)</f>
        <v>0.553</v>
      </c>
      <c r="J172" s="7">
        <f>IFERROR(1-_xlfn.PERCENTRANK.INC('Master Data'!$J$5:$J$204,'Master Data'!$J172),0)</f>
        <v>0.251</v>
      </c>
      <c r="K172" s="7">
        <f>IFERROR(1-_xlfn.PERCENTRANK.INC('Master Data'!$K$5:$K$204,'Master Data'!$K172),0)</f>
        <v>0.005</v>
      </c>
      <c r="L172" s="7">
        <f>IFERROR(_xlfn.PERCENTRANK.INC('Master Data'!$L$5:$L$204,'Master Data'!$L172),0)</f>
        <v>0.251</v>
      </c>
      <c r="M172" s="7">
        <f>IFERROR(1-_xlfn.PERCENTRANK.INC('Master Data'!$M$5:$M$204,'Master Data'!$M172),0)</f>
        <v>0.94</v>
      </c>
      <c r="N172" s="7">
        <f>IFERROR(1-_xlfn.PERCENTRANK.INC('Master Data'!$N$5:$N$204,'Master Data'!$N172),0)</f>
        <v>0.794</v>
      </c>
      <c r="O172" s="7">
        <f>IFERROR(1-_xlfn.PERCENTRANK.INC('Master Data'!$O$5:$O$204,'Master Data'!$O172),0)</f>
        <v>0.97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6" t="s">
        <v>198</v>
      </c>
      <c r="C173" s="7">
        <f>IFERROR(_xlfn.PERCENTRANK.INC('Master Data'!$C$5:$C$204,'Master Data'!$C173),0)</f>
        <v>0.628</v>
      </c>
      <c r="D173" s="7">
        <f>IFERROR(_xlfn.PERCENTRANK.INC('Master Data'!$D$5:$D$204,'Master Data'!$D173),0)</f>
        <v>0.05</v>
      </c>
      <c r="E173" s="7">
        <f>IFERROR(_xlfn.PERCENTRANK.INC('Master Data'!$E$5:$E$204,'Master Data'!$E173),0)</f>
        <v>0.04</v>
      </c>
      <c r="F173" s="7">
        <f>IFERROR(_xlfn.PERCENTRANK.INC('Master Data'!$F$5:$F$204,'Master Data'!$F173),0)</f>
        <v>0.206</v>
      </c>
      <c r="G173" s="7">
        <f>IFERROR(_xlfn.PERCENTRANK.INC('Master Data'!$G$5:$G$204,'Master Data'!$G173),0)</f>
        <v>0.201</v>
      </c>
      <c r="H173" s="7">
        <f>IFERROR(_xlfn.PERCENTRANK.INC('Master Data'!$H$5:$H$204,'Master Data'!$H173),0)</f>
        <v>0.362</v>
      </c>
      <c r="I173" s="7">
        <f>IFERROR(_xlfn.PERCENTRANK.INC('Master Data'!$I$5:$I$204,'Master Data'!$I173),0)</f>
        <v>0.432</v>
      </c>
      <c r="J173" s="7">
        <f>IFERROR(1-_xlfn.PERCENTRANK.INC('Master Data'!$J$5:$J$204,'Master Data'!$J173),0)</f>
        <v>0.447</v>
      </c>
      <c r="K173" s="7">
        <f>IFERROR(1-_xlfn.PERCENTRANK.INC('Master Data'!$K$5:$K$204,'Master Data'!$K173),0)</f>
        <v>0.176</v>
      </c>
      <c r="L173" s="7">
        <f>IFERROR(_xlfn.PERCENTRANK.INC('Master Data'!$L$5:$L$204,'Master Data'!$L173),0)</f>
        <v>0.317</v>
      </c>
      <c r="M173" s="7">
        <f>IFERROR(1-_xlfn.PERCENTRANK.INC('Master Data'!$M$5:$M$204,'Master Data'!$M173),0)</f>
        <v>0.171</v>
      </c>
      <c r="N173" s="7">
        <f>IFERROR(1-_xlfn.PERCENTRANK.INC('Master Data'!$N$5:$N$204,'Master Data'!$N173),0)</f>
        <v>0.302</v>
      </c>
      <c r="O173" s="7">
        <f>IFERROR(1-_xlfn.PERCENTRANK.INC('Master Data'!$O$5:$O$204,'Master Data'!$O173),0)</f>
        <v>0.095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6" t="s">
        <v>13</v>
      </c>
      <c r="C174" s="7">
        <f>IFERROR(_xlfn.PERCENTRANK.INC('Master Data'!$C$5:$C$204,'Master Data'!$C174),0)</f>
        <v>0.744</v>
      </c>
      <c r="D174" s="7">
        <f>IFERROR(_xlfn.PERCENTRANK.INC('Master Data'!$D$5:$D$204,'Master Data'!$D174),0)</f>
        <v>0.598</v>
      </c>
      <c r="E174" s="7">
        <f>IFERROR(_xlfn.PERCENTRANK.INC('Master Data'!$E$5:$E$204,'Master Data'!$E174),0)</f>
        <v>0.709</v>
      </c>
      <c r="F174" s="7">
        <f>IFERROR(_xlfn.PERCENTRANK.INC('Master Data'!$F$5:$F$204,'Master Data'!$F174),0)</f>
        <v>0.854</v>
      </c>
      <c r="G174" s="7">
        <f>IFERROR(_xlfn.PERCENTRANK.INC('Master Data'!$G$5:$G$204,'Master Data'!$G174),0)</f>
        <v>0.859</v>
      </c>
      <c r="H174" s="7">
        <f>IFERROR(_xlfn.PERCENTRANK.INC('Master Data'!$H$5:$H$204,'Master Data'!$H174),0)</f>
        <v>0.874</v>
      </c>
      <c r="I174" s="7">
        <f>IFERROR(_xlfn.PERCENTRANK.INC('Master Data'!$I$5:$I$204,'Master Data'!$I174),0)</f>
        <v>0.889</v>
      </c>
      <c r="J174" s="7">
        <f>IFERROR(1-_xlfn.PERCENTRANK.INC('Master Data'!$J$5:$J$204,'Master Data'!$J174),0)</f>
        <v>0.688</v>
      </c>
      <c r="K174" s="7">
        <f>IFERROR(1-_xlfn.PERCENTRANK.INC('Master Data'!$K$5:$K$204,'Master Data'!$K174),0)</f>
        <v>0.724</v>
      </c>
      <c r="L174" s="7">
        <f>IFERROR(_xlfn.PERCENTRANK.INC('Master Data'!$L$5:$L$204,'Master Data'!$L174),0)</f>
        <v>0.764</v>
      </c>
      <c r="M174" s="7">
        <f>IFERROR(1-_xlfn.PERCENTRANK.INC('Master Data'!$M$5:$M$204,'Master Data'!$M174),0)</f>
        <v>0.477</v>
      </c>
      <c r="N174" s="7">
        <f>IFERROR(1-_xlfn.PERCENTRANK.INC('Master Data'!$N$5:$N$204,'Master Data'!$N174),0)</f>
        <v>0.884</v>
      </c>
      <c r="O174" s="7">
        <f>IFERROR(1-_xlfn.PERCENTRANK.INC('Master Data'!$O$5:$O$204,'Master Data'!$O174),0)</f>
        <v>0.332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6" t="s">
        <v>162</v>
      </c>
      <c r="C175" s="7">
        <f>IFERROR(_xlfn.PERCENTRANK.INC('Master Data'!$C$5:$C$204,'Master Data'!$C175),0)</f>
        <v>0.266</v>
      </c>
      <c r="D175" s="7">
        <f>IFERROR(_xlfn.PERCENTRANK.INC('Master Data'!$D$5:$D$204,'Master Data'!$D175),0)</f>
        <v>0.357</v>
      </c>
      <c r="E175" s="7">
        <f>IFERROR(_xlfn.PERCENTRANK.INC('Master Data'!$E$5:$E$204,'Master Data'!$E175),0)</f>
        <v>0.779</v>
      </c>
      <c r="F175" s="7">
        <f>IFERROR(_xlfn.PERCENTRANK.INC('Master Data'!$F$5:$F$204,'Master Data'!$F175),0)</f>
        <v>0.995</v>
      </c>
      <c r="G175" s="7">
        <f>IFERROR(_xlfn.PERCENTRANK.INC('Master Data'!$G$5:$G$204,'Master Data'!$G175),0)</f>
        <v>0.317</v>
      </c>
      <c r="H175" s="7">
        <f>IFERROR(_xlfn.PERCENTRANK.INC('Master Data'!$H$5:$H$204,'Master Data'!$H175),0)</f>
        <v>0.025</v>
      </c>
      <c r="I175" s="7">
        <f>IFERROR(_xlfn.PERCENTRANK.INC('Master Data'!$I$5:$I$204,'Master Data'!$I175),0)</f>
        <v>0.754</v>
      </c>
      <c r="J175" s="7">
        <f>IFERROR(1-_xlfn.PERCENTRANK.INC('Master Data'!$J$5:$J$204,'Master Data'!$J175),0)</f>
        <v>0.151</v>
      </c>
      <c r="K175" s="7">
        <f>IFERROR(1-_xlfn.PERCENTRANK.INC('Master Data'!$K$5:$K$204,'Master Data'!$K175),0)</f>
        <v>0.472</v>
      </c>
      <c r="L175" s="7">
        <f>IFERROR(_xlfn.PERCENTRANK.INC('Master Data'!$L$5:$L$204,'Master Data'!$L175),0)</f>
        <v>0.121</v>
      </c>
      <c r="M175" s="7">
        <f>IFERROR(1-_xlfn.PERCENTRANK.INC('Master Data'!$M$5:$M$204,'Master Data'!$M175),0)</f>
        <v>0.296</v>
      </c>
      <c r="N175" s="7">
        <f>IFERROR(1-_xlfn.PERCENTRANK.INC('Master Data'!$N$5:$N$204,'Master Data'!$N175),0)</f>
        <v>0.658</v>
      </c>
      <c r="O175" s="7">
        <f>IFERROR(1-_xlfn.PERCENTRANK.INC('Master Data'!$O$5:$O$204,'Master Data'!$O175),0)</f>
        <v>0.156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6" t="s">
        <v>159</v>
      </c>
      <c r="C176" s="7">
        <f>IFERROR(_xlfn.PERCENTRANK.INC('Master Data'!$C$5:$C$204,'Master Data'!$C176),0)</f>
        <v>0.03</v>
      </c>
      <c r="D176" s="7">
        <f>IFERROR(_xlfn.PERCENTRANK.INC('Master Data'!$D$5:$D$204,'Master Data'!$D176),0)</f>
        <v>0.05</v>
      </c>
      <c r="E176" s="7">
        <f>IFERROR(_xlfn.PERCENTRANK.INC('Master Data'!$E$5:$E$204,'Master Data'!$E176),0)</f>
        <v>0.04</v>
      </c>
      <c r="F176" s="7">
        <f>IFERROR(_xlfn.PERCENTRANK.INC('Master Data'!$F$5:$F$204,'Master Data'!$F176),0)</f>
        <v>0.005</v>
      </c>
      <c r="G176" s="7">
        <f>IFERROR(_xlfn.PERCENTRANK.INC('Master Data'!$G$5:$G$204,'Master Data'!$G176),0)</f>
        <v>0.111</v>
      </c>
      <c r="H176" s="7">
        <f>IFERROR(_xlfn.PERCENTRANK.INC('Master Data'!$H$5:$H$204,'Master Data'!$H176),0)</f>
        <v>0</v>
      </c>
      <c r="I176" s="7">
        <f>IFERROR(_xlfn.PERCENTRANK.INC('Master Data'!$I$5:$I$204,'Master Data'!$I176),0)</f>
        <v>0.809</v>
      </c>
      <c r="J176" s="7">
        <f>IFERROR(1-_xlfn.PERCENTRANK.INC('Master Data'!$J$5:$J$204,'Master Data'!$J176),0)</f>
        <v>1</v>
      </c>
      <c r="K176" s="7">
        <f>IFERROR(1-_xlfn.PERCENTRANK.INC('Master Data'!$K$5:$K$204,'Master Data'!$K176),0)</f>
        <v>0.975</v>
      </c>
      <c r="L176" s="7">
        <f>IFERROR(_xlfn.PERCENTRANK.INC('Master Data'!$L$5:$L$204,'Master Data'!$L176),0)</f>
        <v>0.005</v>
      </c>
      <c r="M176" s="7">
        <f>IFERROR(1-_xlfn.PERCENTRANK.INC('Master Data'!$M$5:$M$204,'Master Data'!$M176),0)</f>
        <v>0.975</v>
      </c>
      <c r="N176" s="7">
        <f>IFERROR(1-_xlfn.PERCENTRANK.INC('Master Data'!$N$5:$N$204,'Master Data'!$N176),0)</f>
        <v>0.739</v>
      </c>
      <c r="O176" s="7">
        <f>IFERROR(1-_xlfn.PERCENTRANK.INC('Master Data'!$O$5:$O$204,'Master Data'!$O176),0)</f>
        <v>0.442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6" t="s">
        <v>137</v>
      </c>
      <c r="C177" s="7">
        <f>IFERROR(_xlfn.PERCENTRANK.INC('Master Data'!$C$5:$C$204,'Master Data'!$C177),0)</f>
        <v>0.226</v>
      </c>
      <c r="D177" s="7">
        <f>IFERROR(_xlfn.PERCENTRANK.INC('Master Data'!$D$5:$D$204,'Master Data'!$D177),0)</f>
        <v>0.241</v>
      </c>
      <c r="E177" s="7">
        <f>IFERROR(_xlfn.PERCENTRANK.INC('Master Data'!$E$5:$E$204,'Master Data'!$E177),0)</f>
        <v>0.513</v>
      </c>
      <c r="F177" s="7">
        <f>IFERROR(_xlfn.PERCENTRANK.INC('Master Data'!$F$5:$F$204,'Master Data'!$F177),0)</f>
        <v>0.286</v>
      </c>
      <c r="G177" s="7">
        <f>IFERROR(_xlfn.PERCENTRANK.INC('Master Data'!$G$5:$G$204,'Master Data'!$G177),0)</f>
        <v>0.181</v>
      </c>
      <c r="H177" s="7">
        <f>IFERROR(_xlfn.PERCENTRANK.INC('Master Data'!$H$5:$H$204,'Master Data'!$H177),0)</f>
        <v>0.357</v>
      </c>
      <c r="I177" s="7">
        <f>IFERROR(_xlfn.PERCENTRANK.INC('Master Data'!$I$5:$I$204,'Master Data'!$I177),0)</f>
        <v>0.668</v>
      </c>
      <c r="J177" s="7">
        <f>IFERROR(1-_xlfn.PERCENTRANK.INC('Master Data'!$J$5:$J$204,'Master Data'!$J177),0)</f>
        <v>0.578</v>
      </c>
      <c r="K177" s="7">
        <f>IFERROR(1-_xlfn.PERCENTRANK.INC('Master Data'!$K$5:$K$204,'Master Data'!$K177),0)</f>
        <v>0.523</v>
      </c>
      <c r="L177" s="7">
        <f>IFERROR(_xlfn.PERCENTRANK.INC('Master Data'!$L$5:$L$204,'Master Data'!$L177),0)</f>
        <v>0.523</v>
      </c>
      <c r="M177" s="7">
        <f>IFERROR(1-_xlfn.PERCENTRANK.INC('Master Data'!$M$5:$M$204,'Master Data'!$M177),0)</f>
        <v>0.467</v>
      </c>
      <c r="N177" s="7">
        <f>IFERROR(1-_xlfn.PERCENTRANK.INC('Master Data'!$N$5:$N$204,'Master Data'!$N177),0)</f>
        <v>0.513</v>
      </c>
      <c r="O177" s="7">
        <f>IFERROR(1-_xlfn.PERCENTRANK.INC('Master Data'!$O$5:$O$204,'Master Data'!$O177),0)</f>
        <v>0.608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6" t="s">
        <v>35</v>
      </c>
      <c r="C178" s="7">
        <f>IFERROR(_xlfn.PERCENTRANK.INC('Master Data'!$C$5:$C$204,'Master Data'!$C178),0)</f>
        <v>0.528</v>
      </c>
      <c r="D178" s="7">
        <f>IFERROR(_xlfn.PERCENTRANK.INC('Master Data'!$D$5:$D$204,'Master Data'!$D178),0)</f>
        <v>0.417</v>
      </c>
      <c r="E178" s="7">
        <f>IFERROR(_xlfn.PERCENTRANK.INC('Master Data'!$E$5:$E$204,'Master Data'!$E178),0)</f>
        <v>0.407</v>
      </c>
      <c r="F178" s="7">
        <f>IFERROR(_xlfn.PERCENTRANK.INC('Master Data'!$F$5:$F$204,'Master Data'!$F178),0)</f>
        <v>0.97</v>
      </c>
      <c r="G178" s="7">
        <f>IFERROR(_xlfn.PERCENTRANK.INC('Master Data'!$G$5:$G$204,'Master Data'!$G178),0)</f>
        <v>0.97</v>
      </c>
      <c r="H178" s="7">
        <f>IFERROR(_xlfn.PERCENTRANK.INC('Master Data'!$H$5:$H$204,'Master Data'!$H178),0)</f>
        <v>0.99</v>
      </c>
      <c r="I178" s="7">
        <f>IFERROR(_xlfn.PERCENTRANK.INC('Master Data'!$I$5:$I$204,'Master Data'!$I178),0)</f>
        <v>0.925</v>
      </c>
      <c r="J178" s="7">
        <f>IFERROR(1-_xlfn.PERCENTRANK.INC('Master Data'!$J$5:$J$204,'Master Data'!$J178),0)</f>
        <v>0.754</v>
      </c>
      <c r="K178" s="7">
        <f>IFERROR(1-_xlfn.PERCENTRANK.INC('Master Data'!$K$5:$K$204,'Master Data'!$K178),0)</f>
        <v>0.794</v>
      </c>
      <c r="L178" s="7">
        <f>IFERROR(_xlfn.PERCENTRANK.INC('Master Data'!$L$5:$L$204,'Master Data'!$L178),0)</f>
        <v>0.935</v>
      </c>
      <c r="M178" s="7">
        <f>IFERROR(1-_xlfn.PERCENTRANK.INC('Master Data'!$M$5:$M$204,'Master Data'!$M178),0)</f>
        <v>0.573</v>
      </c>
      <c r="N178" s="7">
        <f>IFERROR(1-_xlfn.PERCENTRANK.INC('Master Data'!$N$5:$N$204,'Master Data'!$N178),0)</f>
        <v>0.226</v>
      </c>
      <c r="O178" s="7">
        <f>IFERROR(1-_xlfn.PERCENTRANK.INC('Master Data'!$O$5:$O$204,'Master Data'!$O178),0)</f>
        <v>0.09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6" t="s">
        <v>86</v>
      </c>
      <c r="C179" s="7">
        <f>IFERROR(_xlfn.PERCENTRANK.INC('Master Data'!$C$5:$C$204,'Master Data'!$C179),0)</f>
        <v>0.839</v>
      </c>
      <c r="D179" s="7">
        <f>IFERROR(_xlfn.PERCENTRANK.INC('Master Data'!$D$5:$D$204,'Master Data'!$D179),0)</f>
        <v>0.794</v>
      </c>
      <c r="E179" s="7">
        <f>IFERROR(_xlfn.PERCENTRANK.INC('Master Data'!$E$5:$E$204,'Master Data'!$E179),0)</f>
        <v>0.774</v>
      </c>
      <c r="F179" s="7">
        <f>IFERROR(_xlfn.PERCENTRANK.INC('Master Data'!$F$5:$F$204,'Master Data'!$F179),0)</f>
        <v>0.362</v>
      </c>
      <c r="G179" s="7">
        <f>IFERROR(_xlfn.PERCENTRANK.INC('Master Data'!$G$5:$G$204,'Master Data'!$G179),0)</f>
        <v>0.226</v>
      </c>
      <c r="H179" s="7">
        <f>IFERROR(_xlfn.PERCENTRANK.INC('Master Data'!$H$5:$H$204,'Master Data'!$H179),0)</f>
        <v>0.518</v>
      </c>
      <c r="I179" s="7">
        <f>IFERROR(_xlfn.PERCENTRANK.INC('Master Data'!$I$5:$I$204,'Master Data'!$I179),0)</f>
        <v>0.432</v>
      </c>
      <c r="J179" s="7">
        <f>IFERROR(1-_xlfn.PERCENTRANK.INC('Master Data'!$J$5:$J$204,'Master Data'!$J179),0)</f>
        <v>0.814</v>
      </c>
      <c r="K179" s="7">
        <f>IFERROR(1-_xlfn.PERCENTRANK.INC('Master Data'!$K$5:$K$204,'Master Data'!$K179),0)</f>
        <v>0.663</v>
      </c>
      <c r="L179" s="7">
        <f>IFERROR(_xlfn.PERCENTRANK.INC('Master Data'!$L$5:$L$204,'Master Data'!$L179),0)</f>
        <v>0.653</v>
      </c>
      <c r="M179" s="7">
        <f>IFERROR(1-_xlfn.PERCENTRANK.INC('Master Data'!$M$5:$M$204,'Master Data'!$M179),0)</f>
        <v>0.146</v>
      </c>
      <c r="N179" s="7">
        <f>IFERROR(1-_xlfn.PERCENTRANK.INC('Master Data'!$N$5:$N$204,'Master Data'!$N179),0)</f>
        <v>0.241</v>
      </c>
      <c r="O179" s="7">
        <f>IFERROR(1-_xlfn.PERCENTRANK.INC('Master Data'!$O$5:$O$204,'Master Data'!$O179),0)</f>
        <v>0.487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6" t="s">
        <v>11</v>
      </c>
      <c r="C180" s="7">
        <f>IFERROR(_xlfn.PERCENTRANK.INC('Master Data'!$C$5:$C$204,'Master Data'!$C180),0)</f>
        <v>0.724</v>
      </c>
      <c r="D180" s="7">
        <f>IFERROR(_xlfn.PERCENTRANK.INC('Master Data'!$D$5:$D$204,'Master Data'!$D180),0)</f>
        <v>0.729</v>
      </c>
      <c r="E180" s="7">
        <f>IFERROR(_xlfn.PERCENTRANK.INC('Master Data'!$E$5:$E$204,'Master Data'!$E180),0)</f>
        <v>0.739</v>
      </c>
      <c r="F180" s="7">
        <f>IFERROR(_xlfn.PERCENTRANK.INC('Master Data'!$F$5:$F$204,'Master Data'!$F180),0)</f>
        <v>0.94</v>
      </c>
      <c r="G180" s="7">
        <f>IFERROR(_xlfn.PERCENTRANK.INC('Master Data'!$G$5:$G$204,'Master Data'!$G180),0)</f>
        <v>0.92</v>
      </c>
      <c r="H180" s="7">
        <f>IFERROR(_xlfn.PERCENTRANK.INC('Master Data'!$H$5:$H$204,'Master Data'!$H180),0)</f>
        <v>0.965</v>
      </c>
      <c r="I180" s="7">
        <f>IFERROR(_xlfn.PERCENTRANK.INC('Master Data'!$I$5:$I$204,'Master Data'!$I180),0)</f>
        <v>0.769</v>
      </c>
      <c r="J180" s="7">
        <f>IFERROR(1-_xlfn.PERCENTRANK.INC('Master Data'!$J$5:$J$204,'Master Data'!$J180),0)</f>
        <v>0.709</v>
      </c>
      <c r="K180" s="7">
        <f>IFERROR(1-_xlfn.PERCENTRANK.INC('Master Data'!$K$5:$K$204,'Master Data'!$K180),0)</f>
        <v>0.714</v>
      </c>
      <c r="L180" s="7">
        <f>IFERROR(_xlfn.PERCENTRANK.INC('Master Data'!$L$5:$L$204,'Master Data'!$L180),0)</f>
        <v>0.859</v>
      </c>
      <c r="M180" s="7">
        <f>IFERROR(1-_xlfn.PERCENTRANK.INC('Master Data'!$M$5:$M$204,'Master Data'!$M180),0)</f>
        <v>0.427</v>
      </c>
      <c r="N180" s="7">
        <f>IFERROR(1-_xlfn.PERCENTRANK.INC('Master Data'!$N$5:$N$204,'Master Data'!$N180),0)</f>
        <v>0.985</v>
      </c>
      <c r="O180" s="7">
        <f>IFERROR(1-_xlfn.PERCENTRANK.INC('Master Data'!$O$5:$O$204,'Master Data'!$O180),0)</f>
        <v>0.236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6" t="s">
        <v>171</v>
      </c>
      <c r="C181" s="7">
        <f>IFERROR(_xlfn.PERCENTRANK.INC('Master Data'!$C$5:$C$204,'Master Data'!$C181),0)</f>
        <v>0.246</v>
      </c>
      <c r="D181" s="7">
        <f>IFERROR(_xlfn.PERCENTRANK.INC('Master Data'!$D$5:$D$204,'Master Data'!$D181),0)</f>
        <v>0.633</v>
      </c>
      <c r="E181" s="7">
        <f>IFERROR(_xlfn.PERCENTRANK.INC('Master Data'!$E$5:$E$204,'Master Data'!$E181),0)</f>
        <v>0.04</v>
      </c>
      <c r="F181" s="7">
        <f>IFERROR(_xlfn.PERCENTRANK.INC('Master Data'!$F$5:$F$204,'Master Data'!$F181),0)</f>
        <v>0.146</v>
      </c>
      <c r="G181" s="7">
        <f>IFERROR(_xlfn.PERCENTRANK.INC('Master Data'!$G$5:$G$204,'Master Data'!$G181),0)</f>
        <v>0.045</v>
      </c>
      <c r="H181" s="7">
        <f>IFERROR(_xlfn.PERCENTRANK.INC('Master Data'!$H$5:$H$204,'Master Data'!$H181),0)</f>
        <v>0.101</v>
      </c>
      <c r="I181" s="7">
        <f>IFERROR(_xlfn.PERCENTRANK.INC('Master Data'!$I$5:$I$204,'Master Data'!$I181),0)</f>
        <v>0.809</v>
      </c>
      <c r="J181" s="7">
        <f>IFERROR(1-_xlfn.PERCENTRANK.INC('Master Data'!$J$5:$J$204,'Master Data'!$J181),0)</f>
        <v>0.256</v>
      </c>
      <c r="K181" s="7">
        <f>IFERROR(1-_xlfn.PERCENTRANK.INC('Master Data'!$K$5:$K$204,'Master Data'!$K181),0)</f>
        <v>0.357</v>
      </c>
      <c r="L181" s="7">
        <f>IFERROR(_xlfn.PERCENTRANK.INC('Master Data'!$L$5:$L$204,'Master Data'!$L181),0)</f>
        <v>0.176</v>
      </c>
      <c r="M181" s="7">
        <f>IFERROR(1-_xlfn.PERCENTRANK.INC('Master Data'!$M$5:$M$204,'Master Data'!$M181),0)</f>
        <v>0.673</v>
      </c>
      <c r="N181" s="7">
        <f>IFERROR(1-_xlfn.PERCENTRANK.INC('Master Data'!$N$5:$N$204,'Master Data'!$N181),0)</f>
        <v>0.784</v>
      </c>
      <c r="O181" s="7">
        <f>IFERROR(1-_xlfn.PERCENTRANK.INC('Master Data'!$O$5:$O$204,'Master Data'!$O181),0)</f>
        <v>0.593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6" t="s">
        <v>182</v>
      </c>
      <c r="C182" s="7">
        <f>IFERROR(_xlfn.PERCENTRANK.INC('Master Data'!$C$5:$C$204,'Master Data'!$C182),0)</f>
        <v>0.553</v>
      </c>
      <c r="D182" s="7">
        <f>IFERROR(_xlfn.PERCENTRANK.INC('Master Data'!$D$5:$D$204,'Master Data'!$D182),0)</f>
        <v>0.291</v>
      </c>
      <c r="E182" s="7">
        <f>IFERROR(_xlfn.PERCENTRANK.INC('Master Data'!$E$5:$E$204,'Master Data'!$E182),0)</f>
        <v>0.462</v>
      </c>
      <c r="F182" s="7">
        <f>IFERROR(_xlfn.PERCENTRANK.INC('Master Data'!$F$5:$F$204,'Master Data'!$F182),0)</f>
        <v>0.296</v>
      </c>
      <c r="G182" s="7">
        <f>IFERROR(_xlfn.PERCENTRANK.INC('Master Data'!$G$5:$G$204,'Master Data'!$G182),0)</f>
        <v>0.241</v>
      </c>
      <c r="H182" s="7">
        <f>IFERROR(_xlfn.PERCENTRANK.INC('Master Data'!$H$5:$H$204,'Master Data'!$H182),0)</f>
        <v>0.261</v>
      </c>
      <c r="I182" s="7">
        <f>IFERROR(_xlfn.PERCENTRANK.INC('Master Data'!$I$5:$I$204,'Master Data'!$I182),0)</f>
        <v>0.357</v>
      </c>
      <c r="J182" s="7">
        <f>IFERROR(1-_xlfn.PERCENTRANK.INC('Master Data'!$J$5:$J$204,'Master Data'!$J182),0)</f>
        <v>0.181</v>
      </c>
      <c r="K182" s="7">
        <f>IFERROR(1-_xlfn.PERCENTRANK.INC('Master Data'!$K$5:$K$204,'Master Data'!$K182),0)</f>
        <v>0.136</v>
      </c>
      <c r="L182" s="7">
        <f>IFERROR(_xlfn.PERCENTRANK.INC('Master Data'!$L$5:$L$204,'Master Data'!$L182),0)</f>
        <v>0.171</v>
      </c>
      <c r="M182" s="7">
        <f>IFERROR(1-_xlfn.PERCENTRANK.INC('Master Data'!$M$5:$M$204,'Master Data'!$M182),0)</f>
        <v>0.437</v>
      </c>
      <c r="N182" s="7">
        <f>IFERROR(1-_xlfn.PERCENTRANK.INC('Master Data'!$N$5:$N$204,'Master Data'!$N182),0)</f>
        <v>0.457</v>
      </c>
      <c r="O182" s="7">
        <f>IFERROR(1-_xlfn.PERCENTRANK.INC('Master Data'!$O$5:$O$204,'Master Data'!$O182),0)</f>
        <v>0.432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6" t="s">
        <v>31</v>
      </c>
      <c r="C183" s="7">
        <f>IFERROR(_xlfn.PERCENTRANK.INC('Master Data'!$C$5:$C$204,'Master Data'!$C183),0)</f>
        <v>0.719</v>
      </c>
      <c r="D183" s="7">
        <f>IFERROR(_xlfn.PERCENTRANK.INC('Master Data'!$D$5:$D$204,'Master Data'!$D183),0)</f>
        <v>0.709</v>
      </c>
      <c r="E183" s="7">
        <f>IFERROR(_xlfn.PERCENTRANK.INC('Master Data'!$E$5:$E$204,'Master Data'!$E183),0)</f>
        <v>0.95</v>
      </c>
      <c r="F183" s="7">
        <f>IFERROR(_xlfn.PERCENTRANK.INC('Master Data'!$F$5:$F$204,'Master Data'!$F183),0)</f>
        <v>0.528</v>
      </c>
      <c r="G183" s="7">
        <f>IFERROR(_xlfn.PERCENTRANK.INC('Master Data'!$G$5:$G$204,'Master Data'!$G183),0)</f>
        <v>0.427</v>
      </c>
      <c r="H183" s="7">
        <f>IFERROR(_xlfn.PERCENTRANK.INC('Master Data'!$H$5:$H$204,'Master Data'!$H183),0)</f>
        <v>0.533</v>
      </c>
      <c r="I183" s="7">
        <f>IFERROR(_xlfn.PERCENTRANK.INC('Master Data'!$I$5:$I$204,'Master Data'!$I183),0)</f>
        <v>0.593</v>
      </c>
      <c r="J183" s="7">
        <f>IFERROR(1-_xlfn.PERCENTRANK.INC('Master Data'!$J$5:$J$204,'Master Data'!$J183),0)</f>
        <v>0.382</v>
      </c>
      <c r="K183" s="7">
        <f>IFERROR(1-_xlfn.PERCENTRANK.INC('Master Data'!$K$5:$K$204,'Master Data'!$K183),0)</f>
        <v>0.432</v>
      </c>
      <c r="L183" s="7">
        <f>IFERROR(_xlfn.PERCENTRANK.INC('Master Data'!$L$5:$L$204,'Master Data'!$L183),0)</f>
        <v>0.382</v>
      </c>
      <c r="M183" s="7">
        <f>IFERROR(1-_xlfn.PERCENTRANK.INC('Master Data'!$M$5:$M$204,'Master Data'!$M183),0)</f>
        <v>0.92</v>
      </c>
      <c r="N183" s="7">
        <f>IFERROR(1-_xlfn.PERCENTRANK.INC('Master Data'!$N$5:$N$204,'Master Data'!$N183),0)</f>
        <v>0.804</v>
      </c>
      <c r="O183" s="7">
        <f>IFERROR(1-_xlfn.PERCENTRANK.INC('Master Data'!$O$5:$O$204,'Master Data'!$O183),0)</f>
        <v>0.889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6" t="s">
        <v>120</v>
      </c>
      <c r="C184" s="7">
        <f>IFERROR(_xlfn.PERCENTRANK.INC('Master Data'!$C$5:$C$204,'Master Data'!$C184),0)</f>
        <v>0.03</v>
      </c>
      <c r="D184" s="7">
        <f>IFERROR(_xlfn.PERCENTRANK.INC('Master Data'!$D$5:$D$204,'Master Data'!$D184),0)</f>
        <v>0.05</v>
      </c>
      <c r="E184" s="7">
        <f>IFERROR(_xlfn.PERCENTRANK.INC('Master Data'!$E$5:$E$204,'Master Data'!$E184),0)</f>
        <v>0.04</v>
      </c>
      <c r="F184" s="7">
        <f>IFERROR(_xlfn.PERCENTRANK.INC('Master Data'!$F$5:$F$204,'Master Data'!$F184),0)</f>
        <v>0.945</v>
      </c>
      <c r="G184" s="7">
        <f>IFERROR(_xlfn.PERCENTRANK.INC('Master Data'!$G$5:$G$204,'Master Data'!$G184),0)</f>
        <v>0.945</v>
      </c>
      <c r="H184" s="7">
        <f>IFERROR(_xlfn.PERCENTRANK.INC('Master Data'!$H$5:$H$204,'Master Data'!$H184),0)</f>
        <v>0.884</v>
      </c>
      <c r="I184" s="7">
        <f>IFERROR(_xlfn.PERCENTRANK.INC('Master Data'!$I$5:$I$204,'Master Data'!$I184),0)</f>
        <v>0.628</v>
      </c>
      <c r="J184" s="7">
        <f>IFERROR(1-_xlfn.PERCENTRANK.INC('Master Data'!$J$5:$J$204,'Master Data'!$J184),0)</f>
        <v>0.668</v>
      </c>
      <c r="K184" s="7">
        <f>IFERROR(1-_xlfn.PERCENTRANK.INC('Master Data'!$K$5:$K$204,'Master Data'!$K184),0)</f>
        <v>0.678</v>
      </c>
      <c r="L184" s="7">
        <f>IFERROR(_xlfn.PERCENTRANK.INC('Master Data'!$L$5:$L$204,'Master Data'!$L184),0)</f>
        <v>0.975</v>
      </c>
      <c r="M184" s="7">
        <f>IFERROR(1-_xlfn.PERCENTRANK.INC('Master Data'!$M$5:$M$204,'Master Data'!$M184),0)</f>
        <v>0.312</v>
      </c>
      <c r="N184" s="7">
        <f>IFERROR(1-_xlfn.PERCENTRANK.INC('Master Data'!$N$5:$N$204,'Master Data'!$N184),0)</f>
        <v>0.382</v>
      </c>
      <c r="O184" s="7">
        <f>IFERROR(1-_xlfn.PERCENTRANK.INC('Master Data'!$O$5:$O$204,'Master Data'!$O184),0)</f>
        <v>0.101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6" t="s">
        <v>71</v>
      </c>
      <c r="C185" s="7">
        <f>IFERROR(_xlfn.PERCENTRANK.INC('Master Data'!$C$5:$C$204,'Master Data'!$C185),0)</f>
        <v>0.382</v>
      </c>
      <c r="D185" s="7">
        <f>IFERROR(_xlfn.PERCENTRANK.INC('Master Data'!$D$5:$D$204,'Master Data'!$D185),0)</f>
        <v>0.226</v>
      </c>
      <c r="E185" s="7">
        <f>IFERROR(_xlfn.PERCENTRANK.INC('Master Data'!$E$5:$E$204,'Master Data'!$E185),0)</f>
        <v>0.291</v>
      </c>
      <c r="F185" s="7">
        <f>IFERROR(_xlfn.PERCENTRANK.INC('Master Data'!$F$5:$F$204,'Master Data'!$F185),0)</f>
        <v>0.739</v>
      </c>
      <c r="G185" s="7">
        <f>IFERROR(_xlfn.PERCENTRANK.INC('Master Data'!$G$5:$G$204,'Master Data'!$G185),0)</f>
        <v>0.673</v>
      </c>
      <c r="H185" s="7">
        <f>IFERROR(_xlfn.PERCENTRANK.INC('Master Data'!$H$5:$H$204,'Master Data'!$H185),0)</f>
        <v>0.804</v>
      </c>
      <c r="I185" s="7">
        <f>IFERROR(_xlfn.PERCENTRANK.INC('Master Data'!$I$5:$I$204,'Master Data'!$I185),0)</f>
        <v>0.819</v>
      </c>
      <c r="J185" s="7">
        <f>IFERROR(1-_xlfn.PERCENTRANK.INC('Master Data'!$J$5:$J$204,'Master Data'!$J185),0)</f>
        <v>0.834</v>
      </c>
      <c r="K185" s="7">
        <f>IFERROR(1-_xlfn.PERCENTRANK.INC('Master Data'!$K$5:$K$204,'Master Data'!$K185),0)</f>
        <v>0.774</v>
      </c>
      <c r="L185" s="7">
        <f>IFERROR(_xlfn.PERCENTRANK.INC('Master Data'!$L$5:$L$204,'Master Data'!$L185),0)</f>
        <v>0.734</v>
      </c>
      <c r="M185" s="7">
        <f>IFERROR(1-_xlfn.PERCENTRANK.INC('Master Data'!$M$5:$M$204,'Master Data'!$M185),0)</f>
        <v>0.417</v>
      </c>
      <c r="N185" s="7">
        <f>IFERROR(1-_xlfn.PERCENTRANK.INC('Master Data'!$N$5:$N$204,'Master Data'!$N185),0)</f>
        <v>0.523</v>
      </c>
      <c r="O185" s="7">
        <f>IFERROR(1-_xlfn.PERCENTRANK.INC('Master Data'!$O$5:$O$204,'Master Data'!$O185),0)</f>
        <v>0.452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6" t="s">
        <v>43</v>
      </c>
      <c r="C186" s="7">
        <f>IFERROR(_xlfn.PERCENTRANK.INC('Master Data'!$C$5:$C$204,'Master Data'!$C186),0)</f>
        <v>0.869</v>
      </c>
      <c r="D186" s="7">
        <f>IFERROR(_xlfn.PERCENTRANK.INC('Master Data'!$D$5:$D$204,'Master Data'!$D186),0)</f>
        <v>0.849</v>
      </c>
      <c r="E186" s="7">
        <f>IFERROR(_xlfn.PERCENTRANK.INC('Master Data'!$E$5:$E$204,'Master Data'!$E186),0)</f>
        <v>0.724</v>
      </c>
      <c r="F186" s="7">
        <f>IFERROR(_xlfn.PERCENTRANK.INC('Master Data'!$F$5:$F$204,'Master Data'!$F186),0)</f>
        <v>0.678</v>
      </c>
      <c r="G186" s="7">
        <f>IFERROR(_xlfn.PERCENTRANK.INC('Master Data'!$G$5:$G$204,'Master Data'!$G186),0)</f>
        <v>0.809</v>
      </c>
      <c r="H186" s="7">
        <f>IFERROR(_xlfn.PERCENTRANK.INC('Master Data'!$H$5:$H$204,'Master Data'!$H186),0)</f>
        <v>0.729</v>
      </c>
      <c r="I186" s="7">
        <f>IFERROR(_xlfn.PERCENTRANK.INC('Master Data'!$I$5:$I$204,'Master Data'!$I186),0)</f>
        <v>0.92</v>
      </c>
      <c r="J186" s="7">
        <f>IFERROR(1-_xlfn.PERCENTRANK.INC('Master Data'!$J$5:$J$204,'Master Data'!$J186),0)</f>
        <v>0.322</v>
      </c>
      <c r="K186" s="7">
        <f>IFERROR(1-_xlfn.PERCENTRANK.INC('Master Data'!$K$5:$K$204,'Master Data'!$K186),0)</f>
        <v>0.407</v>
      </c>
      <c r="L186" s="7">
        <f>IFERROR(_xlfn.PERCENTRANK.INC('Master Data'!$L$5:$L$204,'Master Data'!$L186),0)</f>
        <v>0.568</v>
      </c>
      <c r="M186" s="7">
        <f>IFERROR(1-_xlfn.PERCENTRANK.INC('Master Data'!$M$5:$M$204,'Master Data'!$M186),0)</f>
        <v>0.241</v>
      </c>
      <c r="N186" s="7">
        <f>IFERROR(1-_xlfn.PERCENTRANK.INC('Master Data'!$N$5:$N$204,'Master Data'!$N186),0)</f>
        <v>0.95</v>
      </c>
      <c r="O186" s="7">
        <f>IFERROR(1-_xlfn.PERCENTRANK.INC('Master Data'!$O$5:$O$204,'Master Data'!$O186),0)</f>
        <v>0.106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6" t="s">
        <v>166</v>
      </c>
      <c r="C187" s="7">
        <f>IFERROR(_xlfn.PERCENTRANK.INC('Master Data'!$C$5:$C$204,'Master Data'!$C187),0)</f>
        <v>0.281</v>
      </c>
      <c r="D187" s="7">
        <f>IFERROR(_xlfn.PERCENTRANK.INC('Master Data'!$D$5:$D$204,'Master Data'!$D187),0)</f>
        <v>0.276</v>
      </c>
      <c r="E187" s="7">
        <f>IFERROR(_xlfn.PERCENTRANK.INC('Master Data'!$E$5:$E$204,'Master Data'!$E187),0)</f>
        <v>0.281</v>
      </c>
      <c r="F187" s="7">
        <f>IFERROR(_xlfn.PERCENTRANK.INC('Master Data'!$F$5:$F$204,'Master Data'!$F187),0)</f>
        <v>0.603</v>
      </c>
      <c r="G187" s="7">
        <f>IFERROR(_xlfn.PERCENTRANK.INC('Master Data'!$G$5:$G$204,'Master Data'!$G187),0)</f>
        <v>0.698</v>
      </c>
      <c r="H187" s="7">
        <f>IFERROR(_xlfn.PERCENTRANK.INC('Master Data'!$H$5:$H$204,'Master Data'!$H187),0)</f>
        <v>0.663</v>
      </c>
      <c r="I187" s="7">
        <f>IFERROR(_xlfn.PERCENTRANK.INC('Master Data'!$I$5:$I$204,'Master Data'!$I187),0)</f>
        <v>0.593</v>
      </c>
      <c r="J187" s="7">
        <f>IFERROR(1-_xlfn.PERCENTRANK.INC('Master Data'!$J$5:$J$204,'Master Data'!$J187),0)</f>
        <v>0.291</v>
      </c>
      <c r="K187" s="7">
        <f>IFERROR(1-_xlfn.PERCENTRANK.INC('Master Data'!$K$5:$K$204,'Master Data'!$K187),0)</f>
        <v>0.377</v>
      </c>
      <c r="L187" s="7">
        <f>IFERROR(_xlfn.PERCENTRANK.INC('Master Data'!$L$5:$L$204,'Master Data'!$L187),0)</f>
        <v>0.372</v>
      </c>
      <c r="M187" s="7">
        <f>IFERROR(1-_xlfn.PERCENTRANK.INC('Master Data'!$M$5:$M$204,'Master Data'!$M187),0)</f>
        <v>0.442</v>
      </c>
      <c r="N187" s="7">
        <f>IFERROR(1-_xlfn.PERCENTRANK.INC('Master Data'!$N$5:$N$204,'Master Data'!$N187),0)</f>
        <v>0.347</v>
      </c>
      <c r="O187" s="7">
        <f>IFERROR(1-_xlfn.PERCENTRANK.INC('Master Data'!$O$5:$O$204,'Master Data'!$O187),0)</f>
        <v>0.141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6" t="s">
        <v>133</v>
      </c>
      <c r="C188" s="7">
        <f>IFERROR(_xlfn.PERCENTRANK.INC('Master Data'!$C$5:$C$204,'Master Data'!$C188),0)</f>
        <v>0.312</v>
      </c>
      <c r="D188" s="7">
        <f>IFERROR(_xlfn.PERCENTRANK.INC('Master Data'!$D$5:$D$204,'Master Data'!$D188),0)</f>
        <v>0.286</v>
      </c>
      <c r="E188" s="7">
        <f>IFERROR(_xlfn.PERCENTRANK.INC('Master Data'!$E$5:$E$204,'Master Data'!$E188),0)</f>
        <v>0.568</v>
      </c>
      <c r="F188" s="7">
        <f>IFERROR(_xlfn.PERCENTRANK.INC('Master Data'!$F$5:$F$204,'Master Data'!$F188),0)</f>
        <v>0.437</v>
      </c>
      <c r="G188" s="7">
        <f>IFERROR(_xlfn.PERCENTRANK.INC('Master Data'!$G$5:$G$204,'Master Data'!$G188),0)</f>
        <v>0.397</v>
      </c>
      <c r="H188" s="7">
        <f>IFERROR(_xlfn.PERCENTRANK.INC('Master Data'!$H$5:$H$204,'Master Data'!$H188),0)</f>
        <v>0.437</v>
      </c>
      <c r="I188" s="7">
        <f>IFERROR(_xlfn.PERCENTRANK.INC('Master Data'!$I$5:$I$204,'Master Data'!$I188),0)</f>
        <v>0.628</v>
      </c>
      <c r="J188" s="7">
        <f>IFERROR(1-_xlfn.PERCENTRANK.INC('Master Data'!$J$5:$J$204,'Master Data'!$J188),0)</f>
        <v>0.271</v>
      </c>
      <c r="K188" s="7">
        <f>IFERROR(1-_xlfn.PERCENTRANK.INC('Master Data'!$K$5:$K$204,'Master Data'!$K188),0)</f>
        <v>0.372</v>
      </c>
      <c r="L188" s="7">
        <f>IFERROR(_xlfn.PERCENTRANK.INC('Master Data'!$L$5:$L$204,'Master Data'!$L188),0)</f>
        <v>0.271</v>
      </c>
      <c r="M188" s="7">
        <f>IFERROR(1-_xlfn.PERCENTRANK.INC('Master Data'!$M$5:$M$204,'Master Data'!$M188),0)</f>
        <v>0.719</v>
      </c>
      <c r="N188" s="7">
        <f>IFERROR(1-_xlfn.PERCENTRANK.INC('Master Data'!$N$5:$N$204,'Master Data'!$N188),0)</f>
        <v>0.563</v>
      </c>
      <c r="O188" s="7">
        <f>IFERROR(1-_xlfn.PERCENTRANK.INC('Master Data'!$O$5:$O$204,'Master Data'!$O188),0)</f>
        <v>0.618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6" t="s">
        <v>114</v>
      </c>
      <c r="C189" s="7">
        <f>IFERROR(_xlfn.PERCENTRANK.INC('Master Data'!$C$5:$C$204,'Master Data'!$C189),0)</f>
        <v>0.97</v>
      </c>
      <c r="D189" s="7">
        <f>IFERROR(_xlfn.PERCENTRANK.INC('Master Data'!$D$5:$D$204,'Master Data'!$D189),0)</f>
        <v>0.985</v>
      </c>
      <c r="E189" s="7">
        <f>IFERROR(_xlfn.PERCENTRANK.INC('Master Data'!$E$5:$E$204,'Master Data'!$E189),0)</f>
        <v>0.975</v>
      </c>
      <c r="F189" s="7">
        <f>IFERROR(_xlfn.PERCENTRANK.INC('Master Data'!$F$5:$F$204,'Master Data'!$F189),0)</f>
        <v>0.558</v>
      </c>
      <c r="G189" s="7">
        <f>IFERROR(_xlfn.PERCENTRANK.INC('Master Data'!$G$5:$G$204,'Master Data'!$G189),0)</f>
        <v>0.417</v>
      </c>
      <c r="H189" s="7">
        <f>IFERROR(_xlfn.PERCENTRANK.INC('Master Data'!$H$5:$H$204,'Master Data'!$H189),0)</f>
        <v>0.553</v>
      </c>
      <c r="I189" s="7">
        <f>IFERROR(_xlfn.PERCENTRANK.INC('Master Data'!$I$5:$I$204,'Master Data'!$I189),0)</f>
        <v>0.96</v>
      </c>
      <c r="J189" s="7">
        <f>IFERROR(1-_xlfn.PERCENTRANK.INC('Master Data'!$J$5:$J$204,'Master Data'!$J189),0)</f>
        <v>0.317</v>
      </c>
      <c r="K189" s="7">
        <f>IFERROR(1-_xlfn.PERCENTRANK.INC('Master Data'!$K$5:$K$204,'Master Data'!$K189),0)</f>
        <v>0.291</v>
      </c>
      <c r="L189" s="7">
        <f>IFERROR(_xlfn.PERCENTRANK.INC('Master Data'!$L$5:$L$204,'Master Data'!$L189),0)</f>
        <v>0.337</v>
      </c>
      <c r="M189" s="7">
        <f>IFERROR(1-_xlfn.PERCENTRANK.INC('Master Data'!$M$5:$M$204,'Master Data'!$M189),0)</f>
        <v>0.161</v>
      </c>
      <c r="N189" s="7">
        <f>IFERROR(1-_xlfn.PERCENTRANK.INC('Master Data'!$N$5:$N$204,'Master Data'!$N189),0)</f>
        <v>0.055</v>
      </c>
      <c r="O189" s="7">
        <f>IFERROR(1-_xlfn.PERCENTRANK.INC('Master Data'!$O$5:$O$204,'Master Data'!$O189),0)</f>
        <v>0.03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6" t="s">
        <v>157</v>
      </c>
      <c r="C190" s="7">
        <f>IFERROR(_xlfn.PERCENTRANK.INC('Master Data'!$C$5:$C$204,'Master Data'!$C190),0)</f>
        <v>0.03</v>
      </c>
      <c r="D190" s="7">
        <f>IFERROR(_xlfn.PERCENTRANK.INC('Master Data'!$D$5:$D$204,'Master Data'!$D190),0)</f>
        <v>0.05</v>
      </c>
      <c r="E190" s="7">
        <f>IFERROR(_xlfn.PERCENTRANK.INC('Master Data'!$E$5:$E$204,'Master Data'!$E190),0)</f>
        <v>0.04</v>
      </c>
      <c r="F190" s="7">
        <f>IFERROR(_xlfn.PERCENTRANK.INC('Master Data'!$F$5:$F$204,'Master Data'!$F190),0)</f>
        <v>0.704</v>
      </c>
      <c r="G190" s="7">
        <f>IFERROR(_xlfn.PERCENTRANK.INC('Master Data'!$G$5:$G$204,'Master Data'!$G190),0)</f>
        <v>0.663</v>
      </c>
      <c r="H190" s="7">
        <f>IFERROR(_xlfn.PERCENTRANK.INC('Master Data'!$H$5:$H$204,'Master Data'!$H190),0)</f>
        <v>0.739</v>
      </c>
      <c r="I190" s="7">
        <f>IFERROR(_xlfn.PERCENTRANK.INC('Master Data'!$I$5:$I$204,'Master Data'!$I190),0)</f>
        <v>0.864</v>
      </c>
      <c r="J190" s="7">
        <f>IFERROR(1-_xlfn.PERCENTRANK.INC('Master Data'!$J$5:$J$204,'Master Data'!$J190),0)</f>
        <v>0.487</v>
      </c>
      <c r="K190" s="7">
        <f>IFERROR(1-_xlfn.PERCENTRANK.INC('Master Data'!$K$5:$K$204,'Master Data'!$K190),0)</f>
        <v>0.513</v>
      </c>
      <c r="L190" s="7">
        <f>IFERROR(_xlfn.PERCENTRANK.INC('Master Data'!$L$5:$L$204,'Master Data'!$L190),0)</f>
        <v>0.608</v>
      </c>
      <c r="M190" s="7">
        <f>IFERROR(1-_xlfn.PERCENTRANK.INC('Master Data'!$M$5:$M$204,'Master Data'!$M190),0)</f>
        <v>0.221</v>
      </c>
      <c r="N190" s="7">
        <f>IFERROR(1-_xlfn.PERCENTRANK.INC('Master Data'!$N$5:$N$204,'Master Data'!$N190),0)</f>
        <v>0.553</v>
      </c>
      <c r="O190" s="7">
        <f>IFERROR(1-_xlfn.PERCENTRANK.INC('Master Data'!$O$5:$O$204,'Master Data'!$O190),0)</f>
        <v>0.271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6" t="s">
        <v>61</v>
      </c>
      <c r="C191" s="7">
        <f>IFERROR(_xlfn.PERCENTRANK.INC('Master Data'!$C$5:$C$204,'Master Data'!$C191),0)</f>
        <v>0.688</v>
      </c>
      <c r="D191" s="7">
        <f>IFERROR(_xlfn.PERCENTRANK.INC('Master Data'!$D$5:$D$204,'Master Data'!$D191),0)</f>
        <v>0.834</v>
      </c>
      <c r="E191" s="7">
        <f>IFERROR(_xlfn.PERCENTRANK.INC('Master Data'!$E$5:$E$204,'Master Data'!$E191),0)</f>
        <v>0.769</v>
      </c>
      <c r="F191" s="7">
        <f>IFERROR(_xlfn.PERCENTRANK.INC('Master Data'!$F$5:$F$204,'Master Data'!$F191),0)</f>
        <v>0.759</v>
      </c>
      <c r="G191" s="7">
        <f>IFERROR(_xlfn.PERCENTRANK.INC('Master Data'!$G$5:$G$204,'Master Data'!$G191),0)</f>
        <v>0.824</v>
      </c>
      <c r="H191" s="7">
        <f>IFERROR(_xlfn.PERCENTRANK.INC('Master Data'!$H$5:$H$204,'Master Data'!$H191),0)</f>
        <v>0.678</v>
      </c>
      <c r="I191" s="7">
        <f>IFERROR(_xlfn.PERCENTRANK.INC('Master Data'!$I$5:$I$204,'Master Data'!$I191),0)</f>
        <v>0.698</v>
      </c>
      <c r="J191" s="7">
        <f>IFERROR(1-_xlfn.PERCENTRANK.INC('Master Data'!$J$5:$J$204,'Master Data'!$J191),0)</f>
        <v>0.402</v>
      </c>
      <c r="K191" s="7">
        <f>IFERROR(1-_xlfn.PERCENTRANK.INC('Master Data'!$K$5:$K$204,'Master Data'!$K191),0)</f>
        <v>0.497</v>
      </c>
      <c r="L191" s="7">
        <f>IFERROR(_xlfn.PERCENTRANK.INC('Master Data'!$L$5:$L$204,'Master Data'!$L191),0)</f>
        <v>0.538</v>
      </c>
      <c r="M191" s="7">
        <f>IFERROR(1-_xlfn.PERCENTRANK.INC('Master Data'!$M$5:$M$204,'Master Data'!$M191),0)</f>
        <v>0.518</v>
      </c>
      <c r="N191" s="7">
        <f>IFERROR(1-_xlfn.PERCENTRANK.INC('Master Data'!$N$5:$N$204,'Master Data'!$N191),0)</f>
        <v>0.367</v>
      </c>
      <c r="O191" s="7">
        <f>IFERROR(1-_xlfn.PERCENTRANK.INC('Master Data'!$O$5:$O$204,'Master Data'!$O191),0)</f>
        <v>0.226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6" t="s">
        <v>105</v>
      </c>
      <c r="C192" s="7">
        <f>IFERROR(_xlfn.PERCENTRANK.INC('Master Data'!$C$5:$C$204,'Master Data'!$C192),0)</f>
        <v>0.643</v>
      </c>
      <c r="D192" s="7">
        <f>IFERROR(_xlfn.PERCENTRANK.INC('Master Data'!$D$5:$D$204,'Master Data'!$D192),0)</f>
        <v>0.503</v>
      </c>
      <c r="E192" s="7">
        <f>IFERROR(_xlfn.PERCENTRANK.INC('Master Data'!$E$5:$E$204,'Master Data'!$E192),0)</f>
        <v>0.503</v>
      </c>
      <c r="F192" s="7">
        <f>IFERROR(_xlfn.PERCENTRANK.INC('Master Data'!$F$5:$F$204,'Master Data'!$F192),0)</f>
        <v>0.447</v>
      </c>
      <c r="G192" s="7">
        <f>IFERROR(_xlfn.PERCENTRANK.INC('Master Data'!$G$5:$G$204,'Master Data'!$G192),0)</f>
        <v>0.342</v>
      </c>
      <c r="H192" s="7">
        <f>IFERROR(_xlfn.PERCENTRANK.INC('Master Data'!$H$5:$H$204,'Master Data'!$H192),0)</f>
        <v>0.487</v>
      </c>
      <c r="I192" s="7">
        <f>IFERROR(_xlfn.PERCENTRANK.INC('Master Data'!$I$5:$I$204,'Master Data'!$I192),0)</f>
        <v>0.477</v>
      </c>
      <c r="J192" s="7">
        <f>IFERROR(1-_xlfn.PERCENTRANK.INC('Master Data'!$J$5:$J$204,'Master Data'!$J192),0)</f>
        <v>0.432</v>
      </c>
      <c r="K192" s="7">
        <f>IFERROR(1-_xlfn.PERCENTRANK.INC('Master Data'!$K$5:$K$204,'Master Data'!$K192),0)</f>
        <v>0.442</v>
      </c>
      <c r="L192" s="7">
        <f>IFERROR(_xlfn.PERCENTRANK.INC('Master Data'!$L$5:$L$204,'Master Data'!$L192),0)</f>
        <v>0.427</v>
      </c>
      <c r="M192" s="7">
        <f>IFERROR(1-_xlfn.PERCENTRANK.INC('Master Data'!$M$5:$M$204,'Master Data'!$M192),0)</f>
        <v>0.487</v>
      </c>
      <c r="N192" s="7">
        <f>IFERROR(1-_xlfn.PERCENTRANK.INC('Master Data'!$N$5:$N$204,'Master Data'!$N192),0)</f>
        <v>0.905</v>
      </c>
      <c r="O192" s="7">
        <f>IFERROR(1-_xlfn.PERCENTRANK.INC('Master Data'!$O$5:$O$204,'Master Data'!$O192),0)</f>
        <v>0.573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6" t="s">
        <v>158</v>
      </c>
      <c r="C193" s="7">
        <f>IFERROR(_xlfn.PERCENTRANK.INC('Master Data'!$C$5:$C$204,'Master Data'!$C193),0)</f>
        <v>0.704</v>
      </c>
      <c r="D193" s="7">
        <f>IFERROR(_xlfn.PERCENTRANK.INC('Master Data'!$D$5:$D$204,'Master Data'!$D193),0)</f>
        <v>0.638</v>
      </c>
      <c r="E193" s="7">
        <f>IFERROR(_xlfn.PERCENTRANK.INC('Master Data'!$E$5:$E$204,'Master Data'!$E193),0)</f>
        <v>0.945</v>
      </c>
      <c r="F193" s="7">
        <f>IFERROR(_xlfn.PERCENTRANK.INC('Master Data'!$F$5:$F$204,'Master Data'!$F193),0)</f>
        <v>0.116</v>
      </c>
      <c r="G193" s="7">
        <f>IFERROR(_xlfn.PERCENTRANK.INC('Master Data'!$G$5:$G$204,'Master Data'!$G193),0)</f>
        <v>0.09</v>
      </c>
      <c r="H193" s="7">
        <f>IFERROR(_xlfn.PERCENTRANK.INC('Master Data'!$H$5:$H$204,'Master Data'!$H193),0)</f>
        <v>0.075</v>
      </c>
      <c r="I193" s="7">
        <f>IFERROR(_xlfn.PERCENTRANK.INC('Master Data'!$I$5:$I$204,'Master Data'!$I193),0)</f>
        <v>0.025</v>
      </c>
      <c r="J193" s="7">
        <f>IFERROR(1-_xlfn.PERCENTRANK.INC('Master Data'!$J$5:$J$204,'Master Data'!$J193),0)</f>
        <v>0.01</v>
      </c>
      <c r="K193" s="7">
        <f>IFERROR(1-_xlfn.PERCENTRANK.INC('Master Data'!$K$5:$K$204,'Master Data'!$K193),0)</f>
        <v>0.025</v>
      </c>
      <c r="L193" s="7">
        <f>IFERROR(_xlfn.PERCENTRANK.INC('Master Data'!$L$5:$L$204,'Master Data'!$L193),0)</f>
        <v>0.065</v>
      </c>
      <c r="M193" s="7">
        <f>IFERROR(1-_xlfn.PERCENTRANK.INC('Master Data'!$M$5:$M$204,'Master Data'!$M193),0)</f>
        <v>0.734</v>
      </c>
      <c r="N193" s="7">
        <f>IFERROR(1-_xlfn.PERCENTRANK.INC('Master Data'!$N$5:$N$204,'Master Data'!$N193),0)</f>
        <v>0.668</v>
      </c>
      <c r="O193" s="7">
        <f>IFERROR(1-_xlfn.PERCENTRANK.INC('Master Data'!$O$5:$O$204,'Master Data'!$O193),0)</f>
        <v>0.975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6" t="s">
        <v>149</v>
      </c>
      <c r="C194" s="7">
        <f>IFERROR(_xlfn.PERCENTRANK.INC('Master Data'!$C$5:$C$204,'Master Data'!$C194),0)</f>
        <v>0.181</v>
      </c>
      <c r="D194" s="7">
        <f>IFERROR(_xlfn.PERCENTRANK.INC('Master Data'!$D$5:$D$204,'Master Data'!$D194),0)</f>
        <v>0.05</v>
      </c>
      <c r="E194" s="7">
        <f>IFERROR(_xlfn.PERCENTRANK.INC('Master Data'!$E$5:$E$204,'Master Data'!$E194),0)</f>
        <v>0.935</v>
      </c>
      <c r="F194" s="7">
        <f>IFERROR(_xlfn.PERCENTRANK.INC('Master Data'!$F$5:$F$204,'Master Data'!$F194),0)</f>
        <v>0.688</v>
      </c>
      <c r="G194" s="7">
        <f>IFERROR(_xlfn.PERCENTRANK.INC('Master Data'!$G$5:$G$204,'Master Data'!$G194),0)</f>
        <v>0.643</v>
      </c>
      <c r="H194" s="7">
        <f>IFERROR(_xlfn.PERCENTRANK.INC('Master Data'!$H$5:$H$204,'Master Data'!$H194),0)</f>
        <v>0.633</v>
      </c>
      <c r="I194" s="7">
        <f>IFERROR(_xlfn.PERCENTRANK.INC('Master Data'!$I$5:$I$204,'Master Data'!$I194),0)</f>
        <v>0.704</v>
      </c>
      <c r="J194" s="7">
        <f>IFERROR(1-_xlfn.PERCENTRANK.INC('Master Data'!$J$5:$J$204,'Master Data'!$J194),0)</f>
        <v>0.347</v>
      </c>
      <c r="K194" s="7">
        <f>IFERROR(1-_xlfn.PERCENTRANK.INC('Master Data'!$K$5:$K$204,'Master Data'!$K194),0)</f>
        <v>0.467</v>
      </c>
      <c r="L194" s="7">
        <f>IFERROR(_xlfn.PERCENTRANK.INC('Master Data'!$L$5:$L$204,'Master Data'!$L194),0)</f>
        <v>0.497</v>
      </c>
      <c r="M194" s="7">
        <f>IFERROR(1-_xlfn.PERCENTRANK.INC('Master Data'!$M$5:$M$204,'Master Data'!$M194),0)</f>
        <v>0.281</v>
      </c>
      <c r="N194" s="7">
        <f>IFERROR(1-_xlfn.PERCENTRANK.INC('Master Data'!$N$5:$N$204,'Master Data'!$N194),0)</f>
        <v>0.176</v>
      </c>
      <c r="O194" s="7">
        <f>IFERROR(1-_xlfn.PERCENTRANK.INC('Master Data'!$O$5:$O$204,'Master Data'!$O194),0)</f>
        <v>0.181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6" t="s">
        <v>167</v>
      </c>
      <c r="C195" s="7">
        <f>IFERROR(_xlfn.PERCENTRANK.INC('Master Data'!$C$5:$C$204,'Master Data'!$C195),0)</f>
        <v>0.02</v>
      </c>
      <c r="D195" s="7">
        <f>IFERROR(_xlfn.PERCENTRANK.INC('Master Data'!$D$5:$D$204,'Master Data'!$D195),0)</f>
        <v>0</v>
      </c>
      <c r="E195" s="7">
        <f>IFERROR(_xlfn.PERCENTRANK.INC('Master Data'!$E$5:$E$204,'Master Data'!$E195),0)</f>
        <v>0.849</v>
      </c>
      <c r="F195" s="7">
        <f>IFERROR(_xlfn.PERCENTRANK.INC('Master Data'!$F$5:$F$204,'Master Data'!$F195),0)</f>
        <v>0.412</v>
      </c>
      <c r="G195" s="7">
        <f>IFERROR(_xlfn.PERCENTRANK.INC('Master Data'!$G$5:$G$204,'Master Data'!$G195),0)</f>
        <v>0.322</v>
      </c>
      <c r="H195" s="7">
        <f>IFERROR(_xlfn.PERCENTRANK.INC('Master Data'!$H$5:$H$204,'Master Data'!$H195),0)</f>
        <v>0.457</v>
      </c>
      <c r="I195" s="7">
        <f>IFERROR(_xlfn.PERCENTRANK.INC('Master Data'!$I$5:$I$204,'Master Data'!$I195),0)</f>
        <v>0.402</v>
      </c>
      <c r="J195" s="7">
        <f>IFERROR(1-_xlfn.PERCENTRANK.INC('Master Data'!$J$5:$J$204,'Master Data'!$J195),0)</f>
        <v>0.573</v>
      </c>
      <c r="K195" s="7">
        <f>IFERROR(1-_xlfn.PERCENTRANK.INC('Master Data'!$K$5:$K$204,'Master Data'!$K195),0)</f>
        <v>0.427</v>
      </c>
      <c r="L195" s="7">
        <f>IFERROR(_xlfn.PERCENTRANK.INC('Master Data'!$L$5:$L$204,'Master Data'!$L195),0)</f>
        <v>0.357</v>
      </c>
      <c r="M195" s="7">
        <f>IFERROR(1-_xlfn.PERCENTRANK.INC('Master Data'!$M$5:$M$204,'Master Data'!$M195),0)</f>
        <v>0.015</v>
      </c>
      <c r="N195" s="7">
        <f>IFERROR(1-_xlfn.PERCENTRANK.INC('Master Data'!$N$5:$N$204,'Master Data'!$N195),0)</f>
        <v>0.683</v>
      </c>
      <c r="O195" s="7">
        <f>IFERROR(1-_xlfn.PERCENTRANK.INC('Master Data'!$O$5:$O$204,'Master Data'!$O195),0)</f>
        <v>0.598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6" t="s">
        <v>113</v>
      </c>
      <c r="C196" s="7">
        <f>IFERROR(_xlfn.PERCENTRANK.INC('Master Data'!$C$5:$C$204,'Master Data'!$C196),0)</f>
        <v>0.884</v>
      </c>
      <c r="D196" s="7">
        <f>IFERROR(_xlfn.PERCENTRANK.INC('Master Data'!$D$5:$D$204,'Master Data'!$D196),0)</f>
        <v>0.889</v>
      </c>
      <c r="E196" s="7">
        <f>IFERROR(_xlfn.PERCENTRANK.INC('Master Data'!$E$5:$E$204,'Master Data'!$E196),0)</f>
        <v>0.955</v>
      </c>
      <c r="F196" s="7">
        <f>IFERROR(_xlfn.PERCENTRANK.INC('Master Data'!$F$5:$F$204,'Master Data'!$F196),0)</f>
        <v>0.518</v>
      </c>
      <c r="G196" s="7">
        <f>IFERROR(_xlfn.PERCENTRANK.INC('Master Data'!$G$5:$G$204,'Master Data'!$G196),0)</f>
        <v>0.457</v>
      </c>
      <c r="H196" s="7">
        <f>IFERROR(_xlfn.PERCENTRANK.INC('Master Data'!$H$5:$H$204,'Master Data'!$H196),0)</f>
        <v>0.538</v>
      </c>
      <c r="I196" s="7">
        <f>IFERROR(_xlfn.PERCENTRANK.INC('Master Data'!$I$5:$I$204,'Master Data'!$I196),0)</f>
        <v>0.744</v>
      </c>
      <c r="J196" s="7">
        <f>IFERROR(1-_xlfn.PERCENTRANK.INC('Master Data'!$J$5:$J$204,'Master Data'!$J196),0)</f>
        <v>0.312</v>
      </c>
      <c r="K196" s="7">
        <f>IFERROR(1-_xlfn.PERCENTRANK.INC('Master Data'!$K$5:$K$204,'Master Data'!$K196),0)</f>
        <v>0.387</v>
      </c>
      <c r="L196" s="7">
        <f>IFERROR(_xlfn.PERCENTRANK.INC('Master Data'!$L$5:$L$204,'Master Data'!$L196),0)</f>
        <v>0.352</v>
      </c>
      <c r="M196" s="7">
        <f>IFERROR(1-_xlfn.PERCENTRANK.INC('Master Data'!$M$5:$M$204,'Master Data'!$M196),0)</f>
        <v>0.216</v>
      </c>
      <c r="N196" s="7">
        <f>IFERROR(1-_xlfn.PERCENTRANK.INC('Master Data'!$N$5:$N$204,'Master Data'!$N196),0)</f>
        <v>0.156</v>
      </c>
      <c r="O196" s="7">
        <f>IFERROR(1-_xlfn.PERCENTRANK.INC('Master Data'!$O$5:$O$204,'Master Data'!$O196),0)</f>
        <v>0.176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6" t="s">
        <v>145</v>
      </c>
      <c r="C197" s="7">
        <f>IFERROR(_xlfn.PERCENTRANK.INC('Master Data'!$C$5:$C$204,'Master Data'!$C197),0)</f>
        <v>0.402</v>
      </c>
      <c r="D197" s="7">
        <f>IFERROR(_xlfn.PERCENTRANK.INC('Master Data'!$D$5:$D$204,'Master Data'!$D197),0)</f>
        <v>0.05</v>
      </c>
      <c r="E197" s="7">
        <f>IFERROR(_xlfn.PERCENTRANK.INC('Master Data'!$E$5:$E$204,'Master Data'!$E197),0)</f>
        <v>0.04</v>
      </c>
      <c r="F197" s="7">
        <f>IFERROR(_xlfn.PERCENTRANK.INC('Master Data'!$F$5:$F$204,'Master Data'!$F197),0)</f>
        <v>0.442</v>
      </c>
      <c r="G197" s="7">
        <f>IFERROR(_xlfn.PERCENTRANK.INC('Master Data'!$G$5:$G$204,'Master Data'!$G197),0)</f>
        <v>0.482</v>
      </c>
      <c r="H197" s="7">
        <f>IFERROR(_xlfn.PERCENTRANK.INC('Master Data'!$H$5:$H$204,'Master Data'!$H197),0)</f>
        <v>0.513</v>
      </c>
      <c r="I197" s="7">
        <f>IFERROR(_xlfn.PERCENTRANK.INC('Master Data'!$I$5:$I$204,'Master Data'!$I197),0)</f>
        <v>0.583</v>
      </c>
      <c r="J197" s="7">
        <f>IFERROR(1-_xlfn.PERCENTRANK.INC('Master Data'!$J$5:$J$204,'Master Data'!$J197),0)</f>
        <v>0.337</v>
      </c>
      <c r="K197" s="7">
        <f>IFERROR(1-_xlfn.PERCENTRANK.INC('Master Data'!$K$5:$K$204,'Master Data'!$K197),0)</f>
        <v>0.236</v>
      </c>
      <c r="L197" s="7">
        <f>IFERROR(_xlfn.PERCENTRANK.INC('Master Data'!$L$5:$L$204,'Master Data'!$L197),0)</f>
        <v>0.312</v>
      </c>
      <c r="M197" s="7">
        <f>IFERROR(1-_xlfn.PERCENTRANK.INC('Master Data'!$M$5:$M$204,'Master Data'!$M197),0)</f>
        <v>0.794</v>
      </c>
      <c r="N197" s="7">
        <f>IFERROR(1-_xlfn.PERCENTRANK.INC('Master Data'!$N$5:$N$204,'Master Data'!$N197),0)</f>
        <v>0.704</v>
      </c>
      <c r="O197" s="7">
        <f>IFERROR(1-_xlfn.PERCENTRANK.INC('Master Data'!$O$5:$O$204,'Master Data'!$O197),0)</f>
        <v>0.789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6" t="s">
        <v>189</v>
      </c>
      <c r="C198" s="7">
        <f>IFERROR(_xlfn.PERCENTRANK.INC('Master Data'!$C$5:$C$204,'Master Data'!$C198),0)</f>
        <v>0.03</v>
      </c>
      <c r="D198" s="7">
        <f>IFERROR(_xlfn.PERCENTRANK.INC('Master Data'!$D$5:$D$204,'Master Data'!$D198),0)</f>
        <v>0.05</v>
      </c>
      <c r="E198" s="7">
        <f>IFERROR(_xlfn.PERCENTRANK.INC('Master Data'!$E$5:$E$204,'Master Data'!$E198),0)</f>
        <v>0.04</v>
      </c>
      <c r="F198" s="7">
        <f>IFERROR(_xlfn.PERCENTRANK.INC('Master Data'!$F$5:$F$204,'Master Data'!$F198),0)</f>
        <v>0.191</v>
      </c>
      <c r="G198" s="7">
        <f>IFERROR(_xlfn.PERCENTRANK.INC('Master Data'!$G$5:$G$204,'Master Data'!$G198),0)</f>
        <v>0.141</v>
      </c>
      <c r="H198" s="7">
        <f>IFERROR(_xlfn.PERCENTRANK.INC('Master Data'!$H$5:$H$204,'Master Data'!$H198),0)</f>
        <v>0.312</v>
      </c>
      <c r="I198" s="7">
        <f>IFERROR(_xlfn.PERCENTRANK.INC('Master Data'!$I$5:$I$204,'Master Data'!$I198),0)</f>
        <v>0.799</v>
      </c>
      <c r="J198" s="7">
        <f>IFERROR(1-_xlfn.PERCENTRANK.INC('Master Data'!$J$5:$J$204,'Master Data'!$J198),0)</f>
        <v>0.683</v>
      </c>
      <c r="K198" s="7">
        <f>IFERROR(1-_xlfn.PERCENTRANK.INC('Master Data'!$K$5:$K$204,'Master Data'!$K198),0)</f>
        <v>0.487</v>
      </c>
      <c r="L198" s="7">
        <f>IFERROR(_xlfn.PERCENTRANK.INC('Master Data'!$L$5:$L$204,'Master Data'!$L198),0)</f>
        <v>0.558</v>
      </c>
      <c r="M198" s="7">
        <f>IFERROR(1-_xlfn.PERCENTRANK.INC('Master Data'!$M$5:$M$204,'Master Data'!$M198),0)</f>
        <v>0.176</v>
      </c>
      <c r="N198" s="7">
        <f>IFERROR(1-_xlfn.PERCENTRANK.INC('Master Data'!$N$5:$N$204,'Master Data'!$N198),0)</f>
        <v>0.281</v>
      </c>
      <c r="O198" s="7">
        <f>IFERROR(1-_xlfn.PERCENTRANK.INC('Master Data'!$O$5:$O$204,'Master Data'!$O198),0)</f>
        <v>0.367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6" t="s">
        <v>187</v>
      </c>
      <c r="C199" s="7">
        <f>IFERROR(_xlfn.PERCENTRANK.INC('Master Data'!$C$5:$C$204,'Master Data'!$C199),0)</f>
        <v>0.151</v>
      </c>
      <c r="D199" s="7">
        <f>IFERROR(_xlfn.PERCENTRANK.INC('Master Data'!$D$5:$D$204,'Master Data'!$D199),0)</f>
        <v>0.271</v>
      </c>
      <c r="E199" s="7">
        <f>IFERROR(_xlfn.PERCENTRANK.INC('Master Data'!$E$5:$E$204,'Master Data'!$E199),0)</f>
        <v>0.04</v>
      </c>
      <c r="F199" s="7">
        <f>IFERROR(_xlfn.PERCENTRANK.INC('Master Data'!$F$5:$F$204,'Master Data'!$F199),0)</f>
        <v>0.015</v>
      </c>
      <c r="G199" s="7">
        <f>IFERROR(_xlfn.PERCENTRANK.INC('Master Data'!$G$5:$G$204,'Master Data'!$G199),0)</f>
        <v>0.01</v>
      </c>
      <c r="H199" s="7">
        <f>IFERROR(_xlfn.PERCENTRANK.INC('Master Data'!$H$5:$H$204,'Master Data'!$H199),0)</f>
        <v>0.02</v>
      </c>
      <c r="I199" s="7">
        <f>IFERROR(_xlfn.PERCENTRANK.INC('Master Data'!$I$5:$I$204,'Master Data'!$I199),0)</f>
        <v>0.236</v>
      </c>
      <c r="J199" s="7">
        <f>IFERROR(1-_xlfn.PERCENTRANK.INC('Master Data'!$J$5:$J$204,'Master Data'!$J199),0)</f>
        <v>0.518</v>
      </c>
      <c r="K199" s="7">
        <f>IFERROR(1-_xlfn.PERCENTRANK.INC('Master Data'!$K$5:$K$204,'Master Data'!$K199),0)</f>
        <v>0.116</v>
      </c>
      <c r="L199" s="7">
        <f>IFERROR(_xlfn.PERCENTRANK.INC('Master Data'!$L$5:$L$204,'Master Data'!$L199),0)</f>
        <v>0.02</v>
      </c>
      <c r="M199" s="7">
        <f>IFERROR(1-_xlfn.PERCENTRANK.INC('Master Data'!$M$5:$M$204,'Master Data'!$M199),0)</f>
        <v>0.774</v>
      </c>
      <c r="N199" s="7">
        <f>IFERROR(1-_xlfn.PERCENTRANK.INC('Master Data'!$N$5:$N$204,'Master Data'!$N199),0)</f>
        <v>0.714</v>
      </c>
      <c r="O199" s="7">
        <f>IFERROR(1-_xlfn.PERCENTRANK.INC('Master Data'!$O$5:$O$204,'Master Data'!$O199),0)</f>
        <v>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6" t="s">
        <v>93</v>
      </c>
      <c r="C200" s="7">
        <f>IFERROR(_xlfn.PERCENTRANK.INC('Master Data'!$C$5:$C$204,'Master Data'!$C200),0)</f>
        <v>0.407</v>
      </c>
      <c r="D200" s="7">
        <f>IFERROR(_xlfn.PERCENTRANK.INC('Master Data'!$D$5:$D$204,'Master Data'!$D200),0)</f>
        <v>0.618</v>
      </c>
      <c r="E200" s="7">
        <f>IFERROR(_xlfn.PERCENTRANK.INC('Master Data'!$E$5:$E$204,'Master Data'!$E200),0)</f>
        <v>0.442</v>
      </c>
      <c r="F200" s="7">
        <f>IFERROR(_xlfn.PERCENTRANK.INC('Master Data'!$F$5:$F$204,'Master Data'!$F200),0)</f>
        <v>0.588</v>
      </c>
      <c r="G200" s="7">
        <f>IFERROR(_xlfn.PERCENTRANK.INC('Master Data'!$G$5:$G$204,'Master Data'!$G200),0)</f>
        <v>0.452</v>
      </c>
      <c r="H200" s="7">
        <f>IFERROR(_xlfn.PERCENTRANK.INC('Master Data'!$H$5:$H$204,'Master Data'!$H200),0)</f>
        <v>0.603</v>
      </c>
      <c r="I200" s="7">
        <f>IFERROR(_xlfn.PERCENTRANK.INC('Master Data'!$I$5:$I$204,'Master Data'!$I200),0)</f>
        <v>0.829</v>
      </c>
      <c r="J200" s="7">
        <f>IFERROR(1-_xlfn.PERCENTRANK.INC('Master Data'!$J$5:$J$204,'Master Data'!$J200),0)</f>
        <v>0.809</v>
      </c>
      <c r="K200" s="7">
        <f>IFERROR(1-_xlfn.PERCENTRANK.INC('Master Data'!$K$5:$K$204,'Master Data'!$K200),0)</f>
        <v>0.628</v>
      </c>
      <c r="L200" s="7">
        <f>IFERROR(_xlfn.PERCENTRANK.INC('Master Data'!$L$5:$L$204,'Master Data'!$L200),0)</f>
        <v>0.724</v>
      </c>
      <c r="M200" s="7">
        <f>IFERROR(1-_xlfn.PERCENTRANK.INC('Master Data'!$M$5:$M$204,'Master Data'!$M200),0)</f>
        <v>0.166</v>
      </c>
      <c r="N200" s="7">
        <f>IFERROR(1-_xlfn.PERCENTRANK.INC('Master Data'!$N$5:$N$204,'Master Data'!$N200),0)</f>
        <v>0.286</v>
      </c>
      <c r="O200" s="7">
        <f>IFERROR(1-_xlfn.PERCENTRANK.INC('Master Data'!$O$5:$O$204,'Master Data'!$O200),0)</f>
        <v>0.477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6" t="s">
        <v>172</v>
      </c>
      <c r="C201" s="7">
        <f>IFERROR(_xlfn.PERCENTRANK.INC('Master Data'!$C$5:$C$204,'Master Data'!$C201),0)</f>
        <v>0.03</v>
      </c>
      <c r="D201" s="7">
        <f>IFERROR(_xlfn.PERCENTRANK.INC('Master Data'!$D$5:$D$204,'Master Data'!$D201),0)</f>
        <v>0.05</v>
      </c>
      <c r="E201" s="7">
        <f>IFERROR(_xlfn.PERCENTRANK.INC('Master Data'!$E$5:$E$204,'Master Data'!$E201),0)</f>
        <v>0.04</v>
      </c>
      <c r="F201" s="7">
        <f>IFERROR(_xlfn.PERCENTRANK.INC('Master Data'!$F$5:$F$204,'Master Data'!$F201),0)</f>
        <v>0.809</v>
      </c>
      <c r="G201" s="7">
        <f>IFERROR(_xlfn.PERCENTRANK.INC('Master Data'!$G$5:$G$204,'Master Data'!$G201),0)</f>
        <v>0.759</v>
      </c>
      <c r="H201" s="7">
        <f>IFERROR(_xlfn.PERCENTRANK.INC('Master Data'!$H$5:$H$204,'Master Data'!$H201),0)</f>
        <v>0.528</v>
      </c>
      <c r="I201" s="7">
        <f>IFERROR(_xlfn.PERCENTRANK.INC('Master Data'!$I$5:$I$204,'Master Data'!$I201),0)</f>
        <v>0.673</v>
      </c>
      <c r="J201" s="7">
        <f>IFERROR(1-_xlfn.PERCENTRANK.INC('Master Data'!$J$5:$J$204,'Master Data'!$J201),0)</f>
        <v>0.452</v>
      </c>
      <c r="K201" s="7">
        <f>IFERROR(1-_xlfn.PERCENTRANK.INC('Master Data'!$K$5:$K$204,'Master Data'!$K201),0)</f>
        <v>0.477</v>
      </c>
      <c r="L201" s="7">
        <f>IFERROR(_xlfn.PERCENTRANK.INC('Master Data'!$L$5:$L$204,'Master Data'!$L201),0)</f>
        <v>0.452</v>
      </c>
      <c r="M201" s="7">
        <f>IFERROR(1-_xlfn.PERCENTRANK.INC('Master Data'!$M$5:$M$204,'Master Data'!$M201),0)</f>
        <v>0.508</v>
      </c>
      <c r="N201" s="7">
        <f>IFERROR(1-_xlfn.PERCENTRANK.INC('Master Data'!$N$5:$N$204,'Master Data'!$N201),0)</f>
        <v>0.095</v>
      </c>
      <c r="O201" s="7">
        <f>IFERROR(1-_xlfn.PERCENTRANK.INC('Master Data'!$O$5:$O$204,'Master Data'!$O201),0)</f>
        <v>0.392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6" t="s">
        <v>106</v>
      </c>
      <c r="C202" s="7">
        <f>IFERROR(_xlfn.PERCENTRANK.INC('Master Data'!$C$5:$C$204,'Master Data'!$C202),0)</f>
        <v>0.216</v>
      </c>
      <c r="D202" s="7">
        <f>IFERROR(_xlfn.PERCENTRANK.INC('Master Data'!$D$5:$D$204,'Master Data'!$D202),0)</f>
        <v>0.256</v>
      </c>
      <c r="E202" s="7">
        <f>IFERROR(_xlfn.PERCENTRANK.INC('Master Data'!$E$5:$E$204,'Master Data'!$E202),0)</f>
        <v>0.322</v>
      </c>
      <c r="F202" s="7">
        <f>IFERROR(_xlfn.PERCENTRANK.INC('Master Data'!$F$5:$F$204,'Master Data'!$F202),0)</f>
        <v>0.724</v>
      </c>
      <c r="G202" s="7">
        <f>IFERROR(_xlfn.PERCENTRANK.INC('Master Data'!$G$5:$G$204,'Master Data'!$G202),0)</f>
        <v>0.724</v>
      </c>
      <c r="H202" s="7">
        <f>IFERROR(_xlfn.PERCENTRANK.INC('Master Data'!$H$5:$H$204,'Master Data'!$H202),0)</f>
        <v>0.814</v>
      </c>
      <c r="I202" s="7">
        <f>IFERROR(_xlfn.PERCENTRANK.INC('Master Data'!$I$5:$I$204,'Master Data'!$I202),0)</f>
        <v>0.543</v>
      </c>
      <c r="J202" s="7">
        <f>IFERROR(1-_xlfn.PERCENTRANK.INC('Master Data'!$J$5:$J$204,'Master Data'!$J202),0)</f>
        <v>0.593</v>
      </c>
      <c r="K202" s="7">
        <f>IFERROR(1-_xlfn.PERCENTRANK.INC('Master Data'!$K$5:$K$204,'Master Data'!$K202),0)</f>
        <v>0.568</v>
      </c>
      <c r="L202" s="7">
        <f>IFERROR(_xlfn.PERCENTRANK.INC('Master Data'!$L$5:$L$204,'Master Data'!$L202),0)</f>
        <v>0.598</v>
      </c>
      <c r="M202" s="7">
        <f>IFERROR(1-_xlfn.PERCENTRANK.INC('Master Data'!$M$5:$M$204,'Master Data'!$M202),0)</f>
        <v>0.598</v>
      </c>
      <c r="N202" s="7">
        <f>IFERROR(1-_xlfn.PERCENTRANK.INC('Master Data'!$N$5:$N$204,'Master Data'!$N202),0)</f>
        <v>0.372</v>
      </c>
      <c r="O202" s="7">
        <f>IFERROR(1-_xlfn.PERCENTRANK.INC('Master Data'!$O$5:$O$204,'Master Data'!$O202),0)</f>
        <v>0.603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6" t="s">
        <v>194</v>
      </c>
      <c r="C203" s="7">
        <f>IFERROR(_xlfn.PERCENTRANK.INC('Master Data'!$C$5:$C$204,'Master Data'!$C203),0)</f>
        <v>0.462</v>
      </c>
      <c r="D203" s="7">
        <f>IFERROR(_xlfn.PERCENTRANK.INC('Master Data'!$D$5:$D$204,'Master Data'!$D203),0)</f>
        <v>0.342</v>
      </c>
      <c r="E203" s="7">
        <f>IFERROR(_xlfn.PERCENTRANK.INC('Master Data'!$E$5:$E$204,'Master Data'!$E203),0)</f>
        <v>0.03</v>
      </c>
      <c r="F203" s="7">
        <f>IFERROR(_xlfn.PERCENTRANK.INC('Master Data'!$F$5:$F$204,'Master Data'!$F203),0)</f>
        <v>0.111</v>
      </c>
      <c r="G203" s="7">
        <f>IFERROR(_xlfn.PERCENTRANK.INC('Master Data'!$G$5:$G$204,'Master Data'!$G203),0)</f>
        <v>0.035</v>
      </c>
      <c r="H203" s="7">
        <f>IFERROR(_xlfn.PERCENTRANK.INC('Master Data'!$H$5:$H$204,'Master Data'!$H203),0)</f>
        <v>0.045</v>
      </c>
      <c r="I203" s="7">
        <f>IFERROR(_xlfn.PERCENTRANK.INC('Master Data'!$I$5:$I$204,'Master Data'!$I203),0)</f>
        <v>0.025</v>
      </c>
      <c r="J203" s="7">
        <f>IFERROR(1-_xlfn.PERCENTRANK.INC('Master Data'!$J$5:$J$204,'Master Data'!$J203),0)</f>
        <v>0.055</v>
      </c>
      <c r="K203" s="7">
        <f>IFERROR(1-_xlfn.PERCENTRANK.INC('Master Data'!$K$5:$K$204,'Master Data'!$K203),0)</f>
        <v>0.07</v>
      </c>
      <c r="L203" s="7">
        <f>IFERROR(_xlfn.PERCENTRANK.INC('Master Data'!$L$5:$L$204,'Master Data'!$L203),0)</f>
        <v>0.05</v>
      </c>
      <c r="M203" s="7">
        <f>IFERROR(1-_xlfn.PERCENTRANK.INC('Master Data'!$M$5:$M$204,'Master Data'!$M203),0)</f>
        <v>0.658</v>
      </c>
      <c r="N203" s="7">
        <f>IFERROR(1-_xlfn.PERCENTRANK.INC('Master Data'!$N$5:$N$204,'Master Data'!$N203),0)</f>
        <v>0.633</v>
      </c>
      <c r="O203" s="7">
        <f>IFERROR(1-_xlfn.PERCENTRANK.INC('Master Data'!$O$5:$O$204,'Master Data'!$O203),0)</f>
        <v>0.93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6" t="s">
        <v>79</v>
      </c>
      <c r="C204" s="7">
        <f>IFERROR(_xlfn.PERCENTRANK.INC('Master Data'!$C$5:$C$204,'Master Data'!$C204),0)</f>
        <v>0.387</v>
      </c>
      <c r="D204" s="7">
        <f>IFERROR(_xlfn.PERCENTRANK.INC('Master Data'!$D$5:$D$204,'Master Data'!$D204),0)</f>
        <v>0.573</v>
      </c>
      <c r="E204" s="7">
        <f>IFERROR(_xlfn.PERCENTRANK.INC('Master Data'!$E$5:$E$204,'Master Data'!$E204),0)</f>
        <v>0.538</v>
      </c>
      <c r="F204" s="7">
        <f>IFERROR(_xlfn.PERCENTRANK.INC('Master Data'!$F$5:$F$204,'Master Data'!$F204),0)</f>
        <v>0.503</v>
      </c>
      <c r="G204" s="7">
        <f>IFERROR(_xlfn.PERCENTRANK.INC('Master Data'!$G$5:$G$204,'Master Data'!$G204),0)</f>
        <v>0.563</v>
      </c>
      <c r="H204" s="7">
        <f>IFERROR(_xlfn.PERCENTRANK.INC('Master Data'!$H$5:$H$204,'Master Data'!$H204),0)</f>
        <v>0.698</v>
      </c>
      <c r="I204" s="7">
        <f>IFERROR(_xlfn.PERCENTRANK.INC('Master Data'!$I$5:$I$204,'Master Data'!$I204),0)</f>
        <v>0.528</v>
      </c>
      <c r="J204" s="7">
        <f>IFERROR(1-_xlfn.PERCENTRANK.INC('Master Data'!$J$5:$J$204,'Master Data'!$J204),0)</f>
        <v>0.437</v>
      </c>
      <c r="K204" s="7">
        <f>IFERROR(1-_xlfn.PERCENTRANK.INC('Master Data'!$K$5:$K$204,'Master Data'!$K204),0)</f>
        <v>0.352</v>
      </c>
      <c r="L204" s="7">
        <f>IFERROR(_xlfn.PERCENTRANK.INC('Master Data'!$L$5:$L$204,'Master Data'!$L204),0)</f>
        <v>0.573</v>
      </c>
      <c r="M204" s="7">
        <f>IFERROR(1-_xlfn.PERCENTRANK.INC('Master Data'!$M$5:$M$204,'Master Data'!$M204),0)</f>
        <v>0.839</v>
      </c>
      <c r="N204" s="7">
        <f>IFERROR(1-_xlfn.PERCENTRANK.INC('Master Data'!$N$5:$N$204,'Master Data'!$N204),0)</f>
        <v>0.648</v>
      </c>
      <c r="O204" s="7">
        <f>IFERROR(1-_xlfn.PERCENTRANK.INC('Master Data'!$O$5:$O$204,'Master Data'!$O204),0)</f>
        <v>0.633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O2"/>
    <mergeCell ref="C3:E3"/>
    <mergeCell ref="F3:I3"/>
    <mergeCell ref="J3:L3"/>
    <mergeCell ref="M3:O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